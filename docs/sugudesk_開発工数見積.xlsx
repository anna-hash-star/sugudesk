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サマリー" sheetId="1" r:id="rId4"/>
    <sheet state="visible" name="Phase 1" sheetId="2" r:id="rId5"/>
    <sheet state="visible" name="Phase 2" sheetId="3" r:id="rId6"/>
    <sheet state="visible" name="技術スタック" sheetId="4" r:id="rId7"/>
    <sheet state="visible" name="確認事項" sheetId="5" r:id="rId8"/>
  </sheets>
  <definedNames/>
  <calcPr/>
  <extLst>
    <ext uri="GoogleSheetsCustomDataVersion2">
      <go:sheetsCustomData xmlns:go="http://customooxmlschemas.google.com/" r:id="rId9" roundtripDataChecksum="bpjQafCddDw8cJaE8/yDx86eZ2nyTQZa/jeMs6BL+QQ="/>
    </ext>
  </extLst>
</workbook>
</file>

<file path=xl/sharedStrings.xml><?xml version="1.0" encoding="utf-8"?>
<sst xmlns="http://schemas.openxmlformats.org/spreadsheetml/2006/main" count="520" uniqueCount="344">
  <si>
    <t>SuguDesk 開発工数見積もり</t>
  </si>
  <si>
    <t>2026年4月時点</t>
  </si>
  <si>
    <t>フェーズ</t>
  </si>
  <si>
    <t>機能ID</t>
  </si>
  <si>
    <t>機能名</t>
  </si>
  <si>
    <t>基礎工数</t>
  </si>
  <si>
    <t>工数
(人日)</t>
  </si>
  <si>
    <t>備考</t>
  </si>
  <si>
    <t>P1</t>
  </si>
  <si>
    <t>INF</t>
  </si>
  <si>
    <t>インフラ &amp; 基盤</t>
  </si>
  <si>
    <t>GCP構築、CI/CD、DBスキーマ、監視、開発環境</t>
  </si>
  <si>
    <t>F1-1</t>
  </si>
  <si>
    <t>チャットWidget</t>
  </si>
  <si>
    <t>RAGパイプライン、Widget UI、グループ院、会話分類</t>
  </si>
  <si>
    <t>F1-2</t>
  </si>
  <si>
    <t>テナント管理画面</t>
  </si>
  <si>
    <t>ダッシュボード、会話ログ、FAQ管理、Widget設定</t>
  </si>
  <si>
    <t>F1-3</t>
  </si>
  <si>
    <t>社内管理画面</t>
  </si>
  <si>
    <t>テナント管理、クロステナント検索、プロンプト管理</t>
  </si>
  <si>
    <t>F1-4</t>
  </si>
  <si>
    <t>データ移行</t>
  </si>
  <si>
    <t>Dify→新基盤、カナリアリリース</t>
  </si>
  <si>
    <t>EMB</t>
  </si>
  <si>
    <t>Embedding精度検証</t>
  </si>
  <si>
    <t>新旧Embeddingモデル比較評価</t>
  </si>
  <si>
    <t>QA</t>
  </si>
  <si>
    <t>テスト（IT・手動）</t>
  </si>
  <si>
    <t>統合テスト（Playwright E2E + バックエンドIT）、手動テスト</t>
  </si>
  <si>
    <t>DOC</t>
  </si>
  <si>
    <t>ドキュメント</t>
  </si>
  <si>
    <t>API仕様書（Swagger）、DBスキーマ、運用マニュアル、テスト報告</t>
  </si>
  <si>
    <t>Phase 1 合計</t>
  </si>
  <si>
    <t>P2</t>
  </si>
  <si>
    <t>F2-1</t>
  </si>
  <si>
    <t>セルフ改善アシスタント</t>
  </si>
  <si>
    <t>未回答リスト、AI推薦、効果可視化</t>
  </si>
  <si>
    <t>F2-2</t>
  </si>
  <si>
    <t>品質改善パイプライン</t>
  </si>
  <si>
    <t>改善候補UI、ステータス管理、トレンド分析</t>
  </si>
  <si>
    <t>F2-3</t>
  </si>
  <si>
    <t>HPクロール→ベクトル化</t>
  </si>
  <si>
    <t>クロール方式3案から選定、レビュー・承認UI</t>
  </si>
  <si>
    <t>F2-4</t>
  </si>
  <si>
    <t>自動レポートメール</t>
  </si>
  <si>
    <t>Resend、Outbox配信管理、月次サマリー</t>
  </si>
  <si>
    <t>F2-5</t>
  </si>
  <si>
    <t>FAQページ自動生成</t>
  </si>
  <si>
    <t>質問頻度ランキング、埋め込みHTML生成</t>
  </si>
  <si>
    <t>ドキュメント更新</t>
  </si>
  <si>
    <t>Phase 2追加分のAPI仕様書・運用マニュアル追記</t>
  </si>
  <si>
    <t>Phase 2 合計</t>
  </si>
  <si>
    <t>総合計</t>
  </si>
  <si>
    <t>期間（1名）</t>
  </si>
  <si>
    <t>前提条件</t>
  </si>
  <si>
    <t>1名のシニアフルスタックエンジニアによる開発（AI活用前提）</t>
  </si>
  <si>
    <t>バックエンド: C# (ASP.NET) on Cloud Run / フロントエンド: Next.js (TypeScript) on Vercel</t>
  </si>
  <si>
    <t>DB: Cloud SQL (PostgreSQL + pgvector) / 認証: Firebase Auth / AI: Vertex AI (Gemini Flash + Embedding)</t>
  </si>
  <si>
    <t>F1-2（テナント管理画面）とF1-3（社内管理画面）は1つのNext.jsアプリとして統合実装（impersonation方式）</t>
  </si>
  <si>
    <t>成果物の最終スコープはクライアントと協議の上確定</t>
  </si>
  <si>
    <t>概要</t>
  </si>
  <si>
    <t>要件との差分</t>
  </si>
  <si>
    <t>リスク</t>
  </si>
  <si>
    <t>共通基盤</t>
  </si>
  <si>
    <t>INF-1</t>
  </si>
  <si>
    <t>GCPプロジェクト設定</t>
  </si>
  <si>
    <t>Cloud Run, Cloud SQL (PostgreSQL + pgvector), Cloud Load Balancing, Cloud Armor, Firebase Auth の構築</t>
  </si>
  <si>
    <t>INF-2</t>
  </si>
  <si>
    <t>CI/CD</t>
  </si>
  <si>
    <t>GitHub Actions → Cloud Run デプロイ、Vercel自動デプロイ。ステージング・本番の2環境</t>
  </si>
  <si>
    <t>INF-3</t>
  </si>
  <si>
    <t>DBスキーマ設計</t>
  </si>
  <si>
    <t>マルチテナント対応スキーマ設計（Drizzle ORM）。テナント、クリニック、FAQ、会話ログ、分類結果、システムプロンプト、Widget設定等。pgvector拡張セットアップ</t>
  </si>
  <si>
    <t>INF-4</t>
  </si>
  <si>
    <t>監視設定</t>
  </si>
  <si>
    <t>Sentry統合（エラートラッキング）、Cloud Monitoring / Logging、Uptime Check（死活監視）</t>
  </si>
  <si>
    <t>INF-5</t>
  </si>
  <si>
    <t>ローカル開発環境</t>
  </si>
  <si>
    <t>Docker Compose: PostgreSQL + pgvector のローカル環境構築</t>
  </si>
  <si>
    <t>F1-1: チャットWidget</t>
  </si>
  <si>
    <t>F1-1-1</t>
  </si>
  <si>
    <t>チャットAPI（RAGパイプライン）</t>
  </si>
  <si>
    <t>Vertex AI Embeddingによるベクトル検索、Gemini Flashによる回答生成、SSEストリーミング、会話履歴管理（直近3-5ターン）、診断ログ記録（normalized_query, retrieved_faqs, selected_faq_id, is_phone_escalation, escalation_reason）、テナント認証（widget_key）、レート制限（テナント/IP単位）、フォールバック処理（FAQ未ヒット時の電話誘導）、システムプロンプト適用（診療科テンプレート+テナント別カスタマイズ）</t>
  </si>
  <si>
    <t>① 2段階LLM→1段階に変更。理由: 正規化LLM呼び出しで200-500msのレイテンシ増+APIコスト増。Embeddingモデルの性能上、生クエリで十分な検索精度が見込める。必要時に後追加可能
② セッション管理→クライアントメモリ方式（サーバーステートレス）。理由: 医療系のため患者入力がlocalStorage等に残るリスクを回避。業界標準方式（Intercom/Tidio等）</t>
  </si>
  <si>
    <t>SSE + Cloud LB + Cloud Armorの組み合わせでタイムアウト・バッファリング問題が発生する可能性あり（+2-3日）</t>
  </si>
  <si>
    <t>Vertex AI Embedding精度検証は別途計上</t>
  </si>
  <si>
    <t>F1-1-2</t>
  </si>
  <si>
    <t>チャットWidget UI</t>
  </si>
  <si>
    <t>scriptタグ+iframeによる埋め込み（CSS完全分離）、フローティングボタン→チャット画面展開、メッセージリスト+入力エリア、SSEストリーミング表示、テーマカスタマイズ（テーマカラー・アイコン画像）、クイックリプライボタン（初回表示の選択肢）、オープニングメッセージ、AI免責文・利用規約・プライバシーポリシー表示、フォールバック時の電話番号表示、モバイル対応</t>
  </si>
  <si>
    <t>「Shadow DOM or iframe」→ scriptタグ+iframeハイブリッド方式に決定。理由: Intercom/Drift/Crisp等の業界標準方式。CSS分離が完全でクリニックサイト（WordPress/Wix/独自CMS等）との干渉リスクがゼロ。設置もscriptタグ1行で完了</t>
  </si>
  <si>
    <t>一部CMSのiframe制限、モバイルでのposition:fixed挙動差、z-index競合等の環境依存問題（+1-2日）</t>
  </si>
  <si>
    <t>3-5件のクリニックサイトでの実機検証が必要</t>
  </si>
  <si>
    <t>F1-1-3</t>
  </si>
  <si>
    <t>グループ院対応</t>
  </si>
  <si>
    <t>チャット開始時に院選択フロー（ボタン形式）、選択された院に応じてFAQ検索対象を切り替え、院未選択の場合は共通FAQで回答または院選択を促す</t>
  </si>
  <si>
    <t>既存テナントで稼働中のためPhase 1必須</t>
  </si>
  <si>
    <t>F1-1-4</t>
  </si>
  <si>
    <t>会話分類（自動）</t>
  </si>
  <si>
    <t>回答生成後にLLMで自動分類: トピック、メニューカテゴリ、改善アクション（正常回答/FAQ追加/FAQ修正/対応不要/診察誘導）、優先度（high/medium/low）、メモ。Outboxテーブルに書き込み→Cloud Scheduler + Cloud Run Jobsでバッチ分類</t>
  </si>
  <si>
    <t>要件ではPhase 2（F2-2）の範囲だが、Phase 1に移動。理由: 現行Difyワークフロー内でLLMが実行中の機能であり、Phase 1は現行リプレイスのため必須。ダッシュボードの集計・会話ログの分類結果表示に使用</t>
  </si>
  <si>
    <t>分類プロンプトは既存Difyワークフローのロジックを移植。分類タイミング（都度/会話終了時）は要クライアント確認</t>
  </si>
  <si>
    <t>F1-2: テナント管理画面（顧客向け）</t>
  </si>
  <si>
    <t>F1-2-1</t>
  </si>
  <si>
    <t>認証 + マルチテナント</t>
  </si>
  <si>
    <t>Firebase Auth（メールアドレス+パスワード）、ログイン/ログアウト/セッション管理、RBAC（Admin/Tenant Admin/Tenant User）、impersonation機能（exmoreがテナントとして閲覧）</t>
  </si>
  <si>
    <t>F1-2とF1-3を1つのNext.jsアプリに統合（impersonation方式）。理由: 共通コンポーネント（ログ閲覧、FAQ表示等）の二重実装を回避。exmoreがテナントと同じ画面で確認可能</t>
  </si>
  <si>
    <t>テナント側Admin/Userの権限区分は要クライアント確認</t>
  </si>
  <si>
    <t>F1-2-2</t>
  </si>
  <si>
    <t>ダッシュボード</t>
  </si>
  <si>
    <t>KPIカード（利用人数、総チャット件数、電話誘導件数、自己解決率）、日別会話数チャート、時間別会話数チャート、トピック分布、メニューカテゴリ分布、院別会話数、改善アクション内訳、優先度分布、期間フィルタ（直近7日/14日/30日/全期間）</t>
  </si>
  <si>
    <t>既存Google Sheets管理画面の再現。データソースをCloud SQLに変更</t>
  </si>
  <si>
    <t>F1-2-3</t>
  </si>
  <si>
    <t>会話ログ閲覧</t>
  </si>
  <si>
    <t>会話一覧（日付・クリニック名・質問プレビュー）、キーワード検索、フィルタ（すべて/電話誘導/要改善/正常）、会話詳細表示（ユーザー質問+ボット回答）、分類結果パネル（トピック/メニュー/メモ/電話誘導/改善アクション/優先度）、CSVエクスポート、期間フィルタ</t>
  </si>
  <si>
    <t>既存管理画面の会話ログ画面を再現</t>
  </si>
  <si>
    <t>F1-2-4</t>
  </si>
  <si>
    <t>FAQ管理</t>
  </si>
  <si>
    <t>FAQ一覧表示（質問・回答・ソース・更新日時）、FAQ追加（質問+回答入力→保存時にベクトル自動生成→DB即反映）、FAQ編集（保存時にベクトル再生成）、FAQ削除（論理削除）、ソース区別（crawled/manual）、CSVインポート・エクスポート</t>
  </si>
  <si>
    <t>ベクトル生成はVertex AI Embedding API呼び出し（保存時2-3秒）</t>
  </si>
  <si>
    <t>F1-2-5</t>
  </si>
  <si>
    <t>Widget設定</t>
  </si>
  <si>
    <t>オープニングメッセージ、アイコン画像アップロード、テーマカラー、選択肢ボタン（クイックリプライ）設定、フォールバック電話番号、グループ院の場合: 院選択フローの選択肢設定</t>
  </si>
  <si>
    <t>F1-3: 社内管理画面（exmore向け）</t>
  </si>
  <si>
    <t>F1-3-1</t>
  </si>
  <si>
    <t>テナント管理</t>
  </si>
  <si>
    <t>テナント新規作成・編集・一覧・検索、プラン変更、Widget Key発行、埋め込みタグコピー、グループ院: 親テナントの下に子テナントを作成・管理</t>
  </si>
  <si>
    <t>F1-3-2</t>
  </si>
  <si>
    <t>クロステナントログ検索</t>
  </si>
  <si>
    <t>全テナントのチャットログを横断検索（診断情報・分類結果付き）、CSVエクスポート</t>
  </si>
  <si>
    <t>F1-3-3</t>
  </si>
  <si>
    <t>システムプロンプト管理</t>
  </si>
  <si>
    <t>診療科別テンプレートの追加・編集（産婦人科/皮膚科/歯科等）、テンプレート変更時に影響するテナント一覧の表示、テナントごとの設定: テンプレート選択、テナント情報の入力（クリニック名・営業時間・電話番号等）→自動挿入、テナント個別指示の編集（自由記述）、テナント個別指示の横断検索</t>
  </si>
  <si>
    <t>テンプレートの具体的な内容（診療科ごとの差分）は要クライアント確認</t>
  </si>
  <si>
    <t>F1-4: データ移行</t>
  </si>
  <si>
    <t>F1-4-1</t>
  </si>
  <si>
    <t>移行スクリプト開発</t>
  </si>
  <si>
    <t>対象: 既存院のFAQデータ、チャットログ（分類結果含む）、システムプロンプト。方法: Difyエクスポート→CSV/JSON→新DB投入スクリプト。プロンプト移植: 既存プロンプト設計を新基盤テンプレートとして移植</t>
  </si>
  <si>
    <t>Difyアクセス権取得後に調査開始</t>
  </si>
  <si>
    <t>F1-4-2</t>
  </si>
  <si>
    <t>データ検証・テスト</t>
  </si>
  <si>
    <t>移行データの整合性チェック（FAQ件数一致、ベクトル再生成、分類データ照合）、移行後の回答品質テスト</t>
  </si>
  <si>
    <t>F1-4-3</t>
  </si>
  <si>
    <t>Widget切り替え（カナリアリリース）</t>
  </si>
  <si>
    <t>1院で新基盤のWidgetに切り替え→数日〜1週間の品質確認→問題なければ残りの院も順次展開</t>
  </si>
  <si>
    <t>要件では「並行稼働の要否→要検討」だが、院単位のカナリアリリースを必須とする。理由: サービス中のクリニックがあり、一発切り替えは品質・安定性のリスクが高い</t>
  </si>
  <si>
    <t>その他</t>
  </si>
  <si>
    <t>EMB-1</t>
  </si>
  <si>
    <t>新旧Embedding比較評価</t>
  </si>
  <si>
    <t>既存FAQデータ+会話ログを使用し、Dify（OpenAI Embedding）→ Vertex AI Embedding (text-embedding-004)への移行で検索精度がどう変化するかを評価。top-k結果の比較、類似度閾値の最適化</t>
  </si>
  <si>
    <t>Embedding精度が想定以下の場合、チューニング工数が追加で発生（+5-10日）</t>
  </si>
  <si>
    <t>テスト</t>
  </si>
  <si>
    <t>QA-1</t>
  </si>
  <si>
    <t>統合テスト（IT）</t>
  </si>
  <si>
    <t>Playwright E2E: Widget（ロード・送信・SSE受信・クイックリプライ・グループ院選択・モバイル）、ダッシュボード、会話ログ、FAQ管理、Widget設定、管理画面（テナントCRUD・impersonation・プロンプト管理）、認証/RBACフロー
バックエンドIT: RAGパイプライン一気通貫、SSEストリーミング、テナント間データ分離、分類パイプライン（Outbox→分類）</t>
  </si>
  <si>
    <t>UTは各機能の工数に含む</t>
  </si>
  <si>
    <t>QA-2</t>
  </si>
  <si>
    <t>手動テスト</t>
  </si>
  <si>
    <t>クロスブラウザ（Chrome/Safari/Edge）、モバイル（iOS/Android）、クリニックサイト実機検証（3-5件）、データ移行後の回答品質テスト</t>
  </si>
  <si>
    <t>成果物（ドキュメント）</t>
  </si>
  <si>
    <t>DOC-1</t>
  </si>
  <si>
    <t>API仕様書</t>
  </si>
  <si>
    <t>ASP.NET Swagger/OpenAPI自動生成 + カスタマイズ</t>
  </si>
  <si>
    <t>DOC-2</t>
  </si>
  <si>
    <t>DBスキーマ定義書</t>
  </si>
  <si>
    <t>テーブル定義、ER図、インデックス設計</t>
  </si>
  <si>
    <t>DOC-3</t>
  </si>
  <si>
    <t>運用マニュアル</t>
  </si>
  <si>
    <t>テナント追加手順、FAQ登録手順、システムプロンプト変更手順、障害時対応手順</t>
  </si>
  <si>
    <t>DOC-4</t>
  </si>
  <si>
    <t>テスト仕様書・結果報告</t>
  </si>
  <si>
    <t>Playwrightテストコード + CI/CDレポート + 補足ドキュメント</t>
  </si>
  <si>
    <t>F2-1: セルフ改善アシスタント（顧客向け）</t>
  </si>
  <si>
    <t>F2-1-1</t>
  </si>
  <si>
    <t>未回答質問リスト</t>
  </si>
  <si>
    <t>電話誘導になった質問の一覧を自動表示。is_phone_escalationフラグによる自動検出、escalation_reason別の表示、フィルタ・ソート・ページネーション</t>
  </si>
  <si>
    <t>F2-1-2</t>
  </si>
  <si>
    <t>AI推薦エンジン + ワンクリック導線</t>
  </si>
  <si>
    <t>各未回答質問にAIが推奨アクションを自動判定:「このFAQを追加」（回答ドラフト付き）/「既存FAQを修正」（修正案付き）/「対応不要（電話が正しい）」。ワンクリックでFAQ追加/編集画面へ遷移（ドラフト入力済み）</t>
  </si>
  <si>
    <t>AI判定の精度はプロンプトチューニングに依存。反復的な改善工数が発生する可能性あり</t>
  </si>
  <si>
    <t>Phase 1の分類エンジン（chat_logs診断情報）を基盤として利用</t>
  </si>
  <si>
    <t>F2-1-3</t>
  </si>
  <si>
    <t>改善効果の可視化</t>
  </si>
  <si>
    <t>先月と今月の自己解決率の比較チャート、FAQ追加後に同じ質問が解決されるようになったかのトラッキング（embedding類似度による同種質問追跡）</t>
  </si>
  <si>
    <t>同種質問の判定精度（embedding類似度閾値）のチューニングが必要</t>
  </si>
  <si>
    <t>F2-2: 品質改善パイプライン（exmore向け）</t>
  </si>
  <si>
    <t>F2-2-1</t>
  </si>
  <si>
    <t>改善候補一覧UI</t>
  </si>
  <si>
    <t>改善候補一覧（フィルタ: 未対応/対応済み、優先度、アクション種別、テナント）、一括操作、FAQ追加/修正→FAQ管理画面へ遷移、プロンプト修正→プロンプト設定画面へ遷移</t>
  </si>
  <si>
    <t>分類エンジンはPhase 1で実装済み（F1-1-4）のため、Phase 2ではUI+ワークフローのみ</t>
  </si>
  <si>
    <t>F2-2-2</t>
  </si>
  <si>
    <t>ステータスワークフロー</t>
  </si>
  <si>
    <t>ステータス管理（未対応→CS対応中→先方確認中→実施済み/対応不要）、ステータス遷移の権限管理</t>
  </si>
  <si>
    <t>F2-2-3</t>
  </si>
  <si>
    <t>クロステナントトレンド分析</t>
  </si>
  <si>
    <t>全テナント横断で傾向を把握（どの診療科でどんな質問が多く電話誘導されているか）、集計チャート・ダッシュボード</t>
  </si>
  <si>
    <t>F2-2-4</t>
  </si>
  <si>
    <t>バッチ処理基盤</t>
  </si>
  <si>
    <t>Cloud Scheduler + Cloud Run Jobsによる日次/週次の集計バッチ。ダッシュボード用の集計データ更新、未対応件数の通知等</t>
  </si>
  <si>
    <t>F2-3: HPクロール→ベクトル化（exmore向け）</t>
  </si>
  <si>
    <t>F2-3-1</t>
  </si>
  <si>
    <t>クロールパイプライン</t>
  </si>
  <si>
    <t>HP URL→ページ内容取得→FAQ候補を自動生成。方式は以下3案から選定:
① Firecrawl + Gemini: 開発工数最小（2日）、SPA対応、メンテ不要。外部依存あり、月500ページ超は$0.01/ページ
② 自前Playwright: 外部依存なし、ランニングコスト安い。開発・メンテ工数大（5-7日）、SPA対応チューニングが手間
③ Claude Code CLI + Skill: サブスク内で完結、追加コストなし、AI活用で精度高い。手動実行、CLI環境が必要（3-4日）</t>
  </si>
  <si>
    <t>カスタムクローラー（Playwright等）ではなく、SaaS or CLIベースの方式を推奨。理由: クリニックサイトの多様性（WordPress/Wix/SPA等）への対応力が高い</t>
  </si>
  <si>
    <t>方式選定により工数が2-7日の幅で変動</t>
  </si>
  <si>
    <t>方式はPhase 2開始時に確定</t>
  </si>
  <si>
    <t>F2-3-2</t>
  </si>
  <si>
    <t>FAQレビュー・承認UI</t>
  </si>
  <si>
    <t>自動生成されたFAQ候補の一覧表示、承認/編集/却下の操作、承認時にFAQとして登録（ベクトル自動生成）。LLMの信頼度スコアによる自動承認も導入可能（高信頼度→自動登録、中→人間レビュー、低→自動却下）</t>
  </si>
  <si>
    <t>要件に生成FAQのレビュー・承認フローの記載がないが追加。理由: 自動生成をそのまま公開するのは品質リスクが高い</t>
  </si>
  <si>
    <t>信頼度閾値は運用しながら調整</t>
  </si>
  <si>
    <t>F2-3-3</t>
  </si>
  <si>
    <t>再クロール・差分検出</t>
  </si>
  <si>
    <t>定期的な再クロール（月次等）、コンテンツ変更の差分検出、既存FAQとの整合性管理、変更があった場合の通知</t>
  </si>
  <si>
    <t>F2-4: 自動レポートメール（顧客向け）</t>
  </si>
  <si>
    <t>F2-4-1</t>
  </si>
  <si>
    <t>メール配信基盤</t>
  </si>
  <si>
    <t>Resendセットアップ、SPF/DKIM/DMARC設定</t>
  </si>
  <si>
    <t>F2-4-2</t>
  </si>
  <si>
    <t>月次集計バッチ</t>
  </si>
  <si>
    <t>チャット件数、解決率、TOP5質問、未回答リストのサマリーを月次で集計</t>
  </si>
  <si>
    <t>F2-4-3</t>
  </si>
  <si>
    <t>HTMLメールテンプレート</t>
  </si>
  <si>
    <t>Resendにテンプレート登録、メールクライアント互換性対応</t>
  </si>
  <si>
    <t>HTMLメールのレンダリング互換性テストに工数がかかる傾向あり</t>
  </si>
  <si>
    <t>F2-4-4</t>
  </si>
  <si>
    <t>配信管理</t>
  </si>
  <si>
    <t>Outboxパターンによる配信管理（pending→sent/failed）、Resend Webhook連携（email.delivered/email.bounced）による到達確認、失敗時リトライ、Cloud Schedulerによる月次スケジュール実行、セルフ改善アシスタント（F2-1）へのディープリンク</t>
  </si>
  <si>
    <t>F2-5: よくある質問ページ自動生成（顧客向け）</t>
  </si>
  <si>
    <t>F2-5-1</t>
  </si>
  <si>
    <t>質問頻度ランキング</t>
  </si>
  <si>
    <t>チャットログの質問頻度で集計、embedding類似度による同義質問の名寄せ（クラスタリング）、上位10-20問を抽出</t>
  </si>
  <si>
    <t>F2-5-2</t>
  </si>
  <si>
    <t>HTML生成</t>
  </si>
  <si>
    <t>テンプレートエンジンによるFAQページHTML生成、FAQ Schema（構造化データ）対応、テナント別デザインカスタマイズ</t>
  </si>
  <si>
    <t>SEO効果の測定は別途検討が必要</t>
  </si>
  <si>
    <t>F2-5-3</t>
  </si>
  <si>
    <t>埋め込み出力</t>
  </si>
  <si>
    <t>クリニックHPに埋め込み可能なJavaScriptローダー方式（Phase 1チャットWidgetと同様のパターン）で配信</t>
  </si>
  <si>
    <t>F2-5-4</t>
  </si>
  <si>
    <t>バッチ + 手動トリガー</t>
  </si>
  <si>
    <t>月次バッチまたは手動トリガーで再生成</t>
  </si>
  <si>
    <t>Playwright E2E: セルフ改善アシスタント↔FAQ CRUD連携、品質パイプラインのステータスワークフロー、メール配信フロー、FAQページ生成
バックエンドIT: バッチ処理、Outbox→Resend連携、Webhook受信</t>
  </si>
  <si>
    <t>AI推薦の精度検証、クロステナント分析の正確性確認、メールクライアント互換性テスト、FAQページのSEO構造化データ検証</t>
  </si>
  <si>
    <t>既存ドキュメント更新</t>
  </si>
  <si>
    <t>Phase 2追加機能分のAPI仕様書・運用マニュアル追記</t>
  </si>
  <si>
    <t>カテゴリ</t>
  </si>
  <si>
    <t>技術</t>
  </si>
  <si>
    <t>用途・備考</t>
  </si>
  <si>
    <t>バックエンド</t>
  </si>
  <si>
    <t>C# / ASP.NET</t>
  </si>
  <si>
    <t>チャットAPI（Cloud Run上で稼働）、RAGパイプライン、SSEストリーミング</t>
  </si>
  <si>
    <t>フロントエンド</t>
  </si>
  <si>
    <t>Next.js / TypeScript</t>
  </si>
  <si>
    <t>テナント管理画面 + 社内管理画面（Vercel上で稼働）</t>
  </si>
  <si>
    <t>TypeScript</t>
  </si>
  <si>
    <t>scriptタグ+iframeハイブリッド方式（CDN配信）</t>
  </si>
  <si>
    <t>データベース</t>
  </si>
  <si>
    <t>Cloud SQL (PostgreSQL)</t>
  </si>
  <si>
    <t>FAQ、会話ログ、テナント情報、分類結果等</t>
  </si>
  <si>
    <t>ベクトル検索</t>
  </si>
  <si>
    <t>pgvector</t>
  </si>
  <si>
    <t>PostgreSQL拡張。FAQのベクトル格納・類似度検索</t>
  </si>
  <si>
    <t>LLM（回答生成）</t>
  </si>
  <si>
    <t>Vertex AI Gemini Flash</t>
  </si>
  <si>
    <t>RAG回答生成、会話分類</t>
  </si>
  <si>
    <t>Embedding</t>
  </si>
  <si>
    <t>Vertex AI Embedding (text-embedding-004)</t>
  </si>
  <si>
    <t>FAQベクトル化、クエリベクトル化。将来的にRuri移行の可能性あり</t>
  </si>
  <si>
    <t>認証</t>
  </si>
  <si>
    <t>Firebase Authentication</t>
  </si>
  <si>
    <t>メール+パスワード認証、RBAC（Admin/Tenant Admin/Tenant User）</t>
  </si>
  <si>
    <t>WAF / DDoS対策</t>
  </si>
  <si>
    <t>Cloud Armor</t>
  </si>
  <si>
    <t>Cloud LB前段に配置、WAFルール適用</t>
  </si>
  <si>
    <t>ロードバランサー</t>
  </si>
  <si>
    <t>Cloud Load Balancing</t>
  </si>
  <si>
    <t>Cloud Armor適用の前提、SSL終端</t>
  </si>
  <si>
    <t>UIライブラリ</t>
  </si>
  <si>
    <t>shadcn/ui + Tailwind CSS</t>
  </si>
  <si>
    <t>管理画面のUIコンポーネント</t>
  </si>
  <si>
    <t>ORM</t>
  </si>
  <si>
    <t>Drizzle ORM</t>
  </si>
  <si>
    <t>TypeScript向け。Next.jsフロントエンドから使用</t>
  </si>
  <si>
    <t>ORM (バックエンド)</t>
  </si>
  <si>
    <t>Entity Framework Core</t>
  </si>
  <si>
    <t>C#バックエンドから使用</t>
  </si>
  <si>
    <t>統合テスト</t>
  </si>
  <si>
    <t>Playwright</t>
  </si>
  <si>
    <t>E2Eテスト（Widget、管理画面、認証フロー）</t>
  </si>
  <si>
    <t>メール配信</t>
  </si>
  <si>
    <t>Resend</t>
  </si>
  <si>
    <t>月次レポートメール（Phase 2）、Webhook連携</t>
  </si>
  <si>
    <t>エラー監視</t>
  </si>
  <si>
    <t>Sentry</t>
  </si>
  <si>
    <t>エラートラッキング（Developerプラン無料枠）</t>
  </si>
  <si>
    <t>インフラ監視</t>
  </si>
  <si>
    <t>Cloud Monitoring / Logging</t>
  </si>
  <si>
    <t>GCP標準の監視・ログ収集</t>
  </si>
  <si>
    <t>死活監視</t>
  </si>
  <si>
    <t>Uptime Check</t>
  </si>
  <si>
    <t>GCP標準（100万回/月まで無料）</t>
  </si>
  <si>
    <t>GitHub Actions</t>
  </si>
  <si>
    <t>Cloud Runデプロイ、Vercelは自動デプロイ</t>
  </si>
  <si>
    <t>ローカル開発</t>
  </si>
  <si>
    <t>Docker Compose</t>
  </si>
  <si>
    <t>PostgreSQL + pgvector のローカル環境</t>
  </si>
  <si>
    <t>非同期処理</t>
  </si>
  <si>
    <t>Cloud Scheduler + Cloud Run Jobs</t>
  </si>
  <si>
    <t>会話分類バッチ、月次集計、レポート配信</t>
  </si>
  <si>
    <t>#</t>
  </si>
  <si>
    <t>関連機能</t>
  </si>
  <si>
    <t>確認事項</t>
  </si>
  <si>
    <t>背景・理由</t>
  </si>
  <si>
    <t>ステータス</t>
  </si>
  <si>
    <t>回答</t>
  </si>
  <si>
    <t>テナント側Admin/Userの権限区分</t>
  </si>
  <si>
    <t>テナント側で複数ユーザーが操作する前提だが、Admin/Userで権限をどう分けるか（閲覧のみ？FAQ編集可？）が未定義。RBACの設計に影響</t>
  </si>
  <si>
    <t>未確認</t>
  </si>
  <si>
    <t>既存Google Sheets管理画面の項目網羅性</t>
  </si>
  <si>
    <t>現行ダッシュボードのスクリーンショットは取得済みだが、見えていない画面・機能がないか確認が必要</t>
  </si>
  <si>
    <t>会話分類のタイミング（都度 or 会話終了時）</t>
  </si>
  <si>
    <t>現行Difyでは回答の都度か会話終了時か。タイミングによりOutboxバッチの設計が変わる。会話終了時ならOutbox+バッチ方式が最適</t>
  </si>
  <si>
    <t>システムプロンプトテンプレートの具体的な内容（診療科ごとの差分）</t>
  </si>
  <si>
    <t>産婦人科以外のテンプレートは未作成の可能性あり。現時点でどの診療科のテンプレートが必要か、差分の具体的な内容を確認</t>
  </si>
  <si>
    <t>決済・請求の仕組み</t>
  </si>
  <si>
    <t>要件に決済・請求の記載がない。プラン変更はDBフラグ変更のみの想定。Stripe等のシステム化が必要な場合は別途見積もり</t>
  </si>
  <si>
    <t>会話ログの移行範囲</t>
  </si>
  <si>
    <t>全期間のログを移行するか、直近Nヶ月に絞るか。データ量により移行スクリプトの工数・Cloud SQLのストレージコストに影響</t>
  </si>
  <si>
    <t>全体</t>
  </si>
  <si>
    <t>レスポンスタイム・可用性のSLA目標</t>
  </si>
  <si>
    <t>First Token までの目標時間、月間稼働率（99.9%等）、RPO/RTOが未定義。Cloud Runの常時起動（コスト増）vsコールドスタート許容の判断に影響</t>
  </si>
  <si>
    <t>テナントあたりの月間リクエスト上限（プラン別）</t>
  </si>
  <si>
    <t>公開APIのレート制限設計に必要。Lite/Standard/Premiumで上限を分けるか。上限なしだとVertex AI課金爆発リスクあり</t>
  </si>
  <si>
    <t>Widget埋め込み先クリニックサイトの技術スタック</t>
  </si>
  <si>
    <t>WordPress/Wix/独自CMS等。iframe方式で基本的には問題ないが、一部CMSのiframe制限を事前に把握したい</t>
  </si>
  <si>
    <t>既存Next.jsコードベースのアクセス権</t>
  </si>
  <si>
    <t>非エンジニアがバイブコーディングで作成したもの。参考として活用可能かコード品質を確認したい</t>
  </si>
  <si>
    <t>FAQページ自動生成の目的と期待効果</t>
  </si>
  <si>
    <t>SEO目的の場合、埋め込みスクリプト（iframe）では検索エンジンにインデックスされにくく効果が限定的。目的に応じて実装方式を検討</t>
  </si>
  <si>
    <t>ログ保持期間・データ削除ポリシー</t>
  </si>
  <si>
    <t>医療系チャットボットのため患者の症状記述がログに残る可能性あり。保持期間・PII取り扱いポリシーの確認が必要。Cloud SQLストレージコストにも影響</t>
  </si>
  <si>
    <t>非機能要件（同時接続数の想定）</t>
  </si>
  <si>
    <t>ピーク時の同時接続数によりCloud Runのインスタンス数・スペック設定が変わる。コスト試算にも影響</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</si>
</sst>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theme="1"/>
      <name val="Calibri"/>
      <scheme val="minor"/>
    </font>
    <font>
      <b/>
      <sz val="14.0"/>
      <color theme="1"/>
      <name val="Arial"/>
    </font>
    <font>
      <sz val="10.0"/>
      <color rgb="FF808080"/>
      <name val="Arial"/>
    </font>
    <font>
      <b/>
      <sz val="11.0"/>
      <color theme="1"/>
      <name val="Arial"/>
    </font>
    <font>
      <b/>
      <sz val="14.0"/>
      <color rgb="FFC00000"/>
      <name val="Arial"/>
    </font>
    <font>
      <sz val="9.0"/>
      <color rgb="FF808080"/>
      <name val="Arial"/>
    </font>
    <font>
      <b/>
      <sz val="10.0"/>
      <color rgb="FFFFFFFF"/>
      <name val="Arial"/>
    </font>
    <font>
      <sz val="10.0"/>
      <color theme="1"/>
      <name val="Arial"/>
    </font>
    <font>
      <b/>
      <sz val="10.0"/>
      <color theme="1"/>
      <name val="Arial"/>
    </font>
    <font>
      <sz val="11.0"/>
      <color theme="1"/>
      <name val="Calibri"/>
    </font>
    <font>
      <b/>
      <sz val="12.0"/>
      <color theme="1"/>
      <name val="Arial"/>
    </font>
    <font>
      <b/>
      <sz val="13.0"/>
      <color rgb="FFFFFFFF"/>
      <name val="Arial"/>
    </font>
    <font>
      <b/>
      <sz val="14.0"/>
      <color rgb="FFFFFFFF"/>
      <name val="Arial"/>
    </font>
    <font>
      <b/>
      <sz val="11.0"/>
      <color rgb="FFFFFFFF"/>
      <name val="Arial"/>
    </font>
    <font>
      <sz val="9.0"/>
      <color rgb="FFC00000"/>
      <name val="Arial"/>
    </font>
    <font>
      <sz val="9.0"/>
      <color rgb="FFBF8F00"/>
      <name val="Arial"/>
    </font>
    <font>
      <sz val="10.0"/>
      <color rgb="FFC00000"/>
      <name val="Arial"/>
    </font>
  </fonts>
  <fills count="7">
    <fill>
      <patternFill patternType="none"/>
    </fill>
    <fill>
      <patternFill patternType="lightGray"/>
    </fill>
    <fill>
      <patternFill patternType="solid">
        <fgColor rgb="FFFFF2CC"/>
        <bgColor rgb="FFFFF2CC"/>
      </patternFill>
    </fill>
    <fill>
      <patternFill patternType="solid">
        <fgColor rgb="FF4472C4"/>
        <bgColor rgb="FF4472C4"/>
      </patternFill>
    </fill>
    <fill>
      <patternFill patternType="solid">
        <fgColor rgb="FFFFFF00"/>
        <bgColor rgb="FFFFFF00"/>
      </patternFill>
    </fill>
    <fill>
      <patternFill patternType="solid">
        <fgColor rgb="FF2F5496"/>
        <bgColor rgb="FF2F5496"/>
      </patternFill>
    </fill>
    <fill>
      <patternFill patternType="solid">
        <fgColor rgb="FFD9E2F3"/>
        <bgColor rgb="FFD9E2F3"/>
      </patternFill>
    </fill>
  </fills>
  <borders count="3">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horizontal="center" readingOrder="0" shrinkToFit="0" vertical="top" wrapText="1"/>
    </xf>
    <xf borderId="0" fillId="0" fontId="5" numFmtId="0" xfId="0" applyFont="1"/>
    <xf borderId="2" fillId="3" fontId="6" numFmtId="0" xfId="0" applyAlignment="1" applyBorder="1" applyFill="1" applyFont="1">
      <alignment horizontal="center" shrinkToFit="0" vertical="top" wrapText="1"/>
    </xf>
    <xf borderId="2" fillId="0" fontId="7" numFmtId="0" xfId="0" applyAlignment="1" applyBorder="1" applyFont="1">
      <alignment horizontal="center" shrinkToFit="0" vertical="top" wrapText="1"/>
    </xf>
    <xf borderId="2" fillId="0" fontId="7" numFmtId="0" xfId="0" applyAlignment="1" applyBorder="1" applyFont="1">
      <alignment shrinkToFit="0" vertical="top" wrapText="1"/>
    </xf>
    <xf borderId="2" fillId="0" fontId="8" numFmtId="0" xfId="0" applyAlignment="1" applyBorder="1" applyFont="1">
      <alignment horizontal="center" shrinkToFit="0" vertical="top" wrapText="1"/>
    </xf>
    <xf borderId="2" fillId="0" fontId="8" numFmtId="164" xfId="0" applyAlignment="1" applyBorder="1" applyFont="1" applyNumberFormat="1">
      <alignment horizontal="center" shrinkToFit="0" vertical="top" wrapText="1"/>
    </xf>
    <xf borderId="2" fillId="0" fontId="5" numFmtId="0" xfId="0" applyAlignment="1" applyBorder="1" applyFont="1">
      <alignment shrinkToFit="0" vertical="top" wrapText="1"/>
    </xf>
    <xf borderId="2" fillId="4" fontId="9" numFmtId="0" xfId="0" applyBorder="1" applyFill="1" applyFont="1"/>
    <xf borderId="2" fillId="4" fontId="3" numFmtId="0" xfId="0" applyBorder="1" applyFont="1"/>
    <xf borderId="2" fillId="4" fontId="10" numFmtId="0" xfId="0" applyAlignment="1" applyBorder="1" applyFont="1">
      <alignment horizontal="center" shrinkToFit="0" vertical="top" wrapText="1"/>
    </xf>
    <xf borderId="2" fillId="4" fontId="10" numFmtId="164" xfId="0" applyAlignment="1" applyBorder="1" applyFont="1" applyNumberFormat="1">
      <alignment horizontal="center" shrinkToFit="0" vertical="top" wrapText="1"/>
    </xf>
    <xf borderId="1" fillId="5" fontId="9" numFmtId="0" xfId="0" applyBorder="1" applyFill="1" applyFont="1"/>
    <xf borderId="1" fillId="5" fontId="11" numFmtId="0" xfId="0" applyBorder="1" applyFont="1"/>
    <xf borderId="1" fillId="5" fontId="12" numFmtId="0" xfId="0" applyAlignment="1" applyBorder="1" applyFont="1">
      <alignment horizontal="center" shrinkToFit="0" vertical="top" wrapText="1"/>
    </xf>
    <xf borderId="1" fillId="5" fontId="12" numFmtId="164" xfId="0" applyAlignment="1" applyBorder="1" applyFont="1" applyNumberFormat="1">
      <alignment horizontal="center" shrinkToFit="0" vertical="top" wrapText="1"/>
    </xf>
    <xf borderId="1" fillId="5" fontId="13" numFmtId="0" xfId="0" applyBorder="1" applyFont="1"/>
    <xf borderId="1" fillId="5" fontId="13" numFmtId="0" xfId="0" applyAlignment="1" applyBorder="1" applyFont="1">
      <alignment horizontal="center" shrinkToFit="0" vertical="top" wrapText="1"/>
    </xf>
    <xf borderId="0" fillId="0" fontId="14" numFmtId="0" xfId="0" applyFont="1"/>
    <xf borderId="2" fillId="5" fontId="13" numFmtId="0" xfId="0" applyAlignment="1" applyBorder="1" applyFont="1">
      <alignment horizontal="center" shrinkToFit="0" vertical="top" wrapText="1"/>
    </xf>
    <xf borderId="2" fillId="5" fontId="9" numFmtId="0" xfId="0" applyBorder="1" applyFont="1"/>
    <xf borderId="2" fillId="5" fontId="13" numFmtId="0" xfId="0" applyBorder="1" applyFont="1"/>
    <xf borderId="2" fillId="6" fontId="8" numFmtId="0" xfId="0" applyAlignment="1" applyBorder="1" applyFill="1" applyFont="1">
      <alignment horizontal="center" shrinkToFit="0" vertical="top" wrapText="1"/>
    </xf>
    <xf borderId="2" fillId="6" fontId="8" numFmtId="0" xfId="0" applyAlignment="1" applyBorder="1" applyFont="1">
      <alignment shrinkToFit="0" vertical="top" wrapText="1"/>
    </xf>
    <xf borderId="2" fillId="6" fontId="8" numFmtId="164" xfId="0" applyAlignment="1" applyBorder="1" applyFont="1" applyNumberFormat="1">
      <alignment horizontal="center" shrinkToFit="0" vertical="top" wrapText="1"/>
    </xf>
    <xf borderId="2" fillId="0" fontId="8" numFmtId="164" xfId="0" applyAlignment="1" applyBorder="1" applyFont="1" applyNumberFormat="1">
      <alignment horizontal="center" readingOrder="0" shrinkToFit="0" vertical="top" wrapText="1"/>
    </xf>
    <xf borderId="2" fillId="0" fontId="14" numFmtId="0" xfId="0" applyAlignment="1" applyBorder="1" applyFont="1">
      <alignment shrinkToFit="0" vertical="top" wrapText="1"/>
    </xf>
    <xf borderId="2" fillId="0" fontId="15" numFmtId="0" xfId="0" applyAlignment="1" applyBorder="1" applyFont="1">
      <alignment shrinkToFit="0" vertical="top" wrapText="1"/>
    </xf>
    <xf borderId="2" fillId="0" fontId="7" numFmtId="0" xfId="0" applyBorder="1" applyFont="1"/>
    <xf borderId="2" fillId="0" fontId="8" numFmtId="0" xfId="0" applyBorder="1" applyFont="1"/>
    <xf borderId="2" fillId="0" fontId="8" numFmtId="0" xfId="0" applyAlignment="1" applyBorder="1" applyFont="1">
      <alignment shrinkToFit="0" vertical="top" wrapText="1"/>
    </xf>
    <xf borderId="2" fillId="0" fontId="16" numFmtId="0" xfId="0" applyAlignment="1" applyBorder="1" applyFont="1">
      <alignment horizontal="center" shrinkToFit="0" vertical="top" wrapText="1"/>
    </xf>
    <xf borderId="2" fillId="0" fontId="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0"/>
    <col customWidth="1" min="3" max="3" width="30.0"/>
    <col customWidth="1" hidden="1" min="4" max="4" width="14.0"/>
    <col customWidth="1" min="5" max="5" width="14.0"/>
    <col customWidth="1" min="6" max="6" width="50.0"/>
    <col customWidth="1" min="7" max="26" width="8.71"/>
  </cols>
  <sheetData>
    <row r="1">
      <c r="A1" s="1" t="s">
        <v>0</v>
      </c>
    </row>
    <row r="2">
      <c r="A2" s="2" t="s">
        <v>1</v>
      </c>
    </row>
    <row r="3">
      <c r="A3" s="3"/>
      <c r="D3" s="4">
        <v>0.6</v>
      </c>
      <c r="E3" s="5"/>
    </row>
    <row r="5">
      <c r="A5" s="6" t="s">
        <v>2</v>
      </c>
      <c r="B5" s="6" t="s">
        <v>3</v>
      </c>
      <c r="C5" s="6" t="s">
        <v>4</v>
      </c>
      <c r="D5" s="6" t="s">
        <v>5</v>
      </c>
      <c r="E5" s="6" t="s">
        <v>6</v>
      </c>
      <c r="F5" s="6" t="s">
        <v>7</v>
      </c>
    </row>
    <row r="6">
      <c r="A6" s="7" t="s">
        <v>8</v>
      </c>
      <c r="B6" s="7" t="s">
        <v>9</v>
      </c>
      <c r="C6" s="8" t="s">
        <v>10</v>
      </c>
      <c r="D6" s="9">
        <v>11.0</v>
      </c>
      <c r="E6" s="10">
        <f t="shared" ref="E6:E14" si="1">D6*$D$3</f>
        <v>6.6</v>
      </c>
      <c r="F6" s="11" t="s">
        <v>11</v>
      </c>
    </row>
    <row r="7">
      <c r="A7" s="7" t="s">
        <v>8</v>
      </c>
      <c r="B7" s="7" t="s">
        <v>12</v>
      </c>
      <c r="C7" s="8" t="s">
        <v>13</v>
      </c>
      <c r="D7" s="9">
        <v>30.0</v>
      </c>
      <c r="E7" s="10">
        <f t="shared" si="1"/>
        <v>18</v>
      </c>
      <c r="F7" s="11" t="s">
        <v>14</v>
      </c>
    </row>
    <row r="8">
      <c r="A8" s="7" t="s">
        <v>8</v>
      </c>
      <c r="B8" s="7" t="s">
        <v>15</v>
      </c>
      <c r="C8" s="8" t="s">
        <v>16</v>
      </c>
      <c r="D8" s="9">
        <v>22.0</v>
      </c>
      <c r="E8" s="10">
        <f t="shared" si="1"/>
        <v>13.2</v>
      </c>
      <c r="F8" s="11" t="s">
        <v>17</v>
      </c>
    </row>
    <row r="9">
      <c r="A9" s="7" t="s">
        <v>8</v>
      </c>
      <c r="B9" s="7" t="s">
        <v>18</v>
      </c>
      <c r="C9" s="8" t="s">
        <v>19</v>
      </c>
      <c r="D9" s="9">
        <v>12.0</v>
      </c>
      <c r="E9" s="10">
        <f t="shared" si="1"/>
        <v>7.2</v>
      </c>
      <c r="F9" s="11" t="s">
        <v>20</v>
      </c>
    </row>
    <row r="10">
      <c r="A10" s="7" t="s">
        <v>8</v>
      </c>
      <c r="B10" s="7" t="s">
        <v>21</v>
      </c>
      <c r="C10" s="8" t="s">
        <v>22</v>
      </c>
      <c r="D10" s="9">
        <v>8.0</v>
      </c>
      <c r="E10" s="10">
        <f t="shared" si="1"/>
        <v>4.8</v>
      </c>
      <c r="F10" s="11" t="s">
        <v>23</v>
      </c>
    </row>
    <row r="11">
      <c r="A11" s="7" t="s">
        <v>8</v>
      </c>
      <c r="B11" s="7" t="s">
        <v>24</v>
      </c>
      <c r="C11" s="8" t="s">
        <v>25</v>
      </c>
      <c r="D11" s="9">
        <v>3.0</v>
      </c>
      <c r="E11" s="10">
        <f t="shared" si="1"/>
        <v>1.8</v>
      </c>
      <c r="F11" s="11" t="s">
        <v>26</v>
      </c>
    </row>
    <row r="12">
      <c r="A12" s="7" t="s">
        <v>8</v>
      </c>
      <c r="B12" s="7" t="s">
        <v>27</v>
      </c>
      <c r="C12" s="8" t="s">
        <v>28</v>
      </c>
      <c r="D12" s="9">
        <v>13.0</v>
      </c>
      <c r="E12" s="10">
        <f t="shared" si="1"/>
        <v>7.8</v>
      </c>
      <c r="F12" s="11" t="s">
        <v>29</v>
      </c>
    </row>
    <row r="13">
      <c r="A13" s="7" t="s">
        <v>8</v>
      </c>
      <c r="B13" s="7" t="s">
        <v>30</v>
      </c>
      <c r="C13" s="8" t="s">
        <v>31</v>
      </c>
      <c r="D13" s="9">
        <v>5.0</v>
      </c>
      <c r="E13" s="10">
        <f t="shared" si="1"/>
        <v>3</v>
      </c>
      <c r="F13" s="11" t="s">
        <v>32</v>
      </c>
    </row>
    <row r="14">
      <c r="A14" s="12"/>
      <c r="B14" s="12"/>
      <c r="C14" s="13" t="s">
        <v>33</v>
      </c>
      <c r="D14" s="14">
        <f>SUM(D6:D13)</f>
        <v>104</v>
      </c>
      <c r="E14" s="15">
        <f t="shared" si="1"/>
        <v>62.4</v>
      </c>
      <c r="F14" s="12"/>
    </row>
    <row r="16">
      <c r="A16" s="7" t="s">
        <v>34</v>
      </c>
      <c r="B16" s="7" t="s">
        <v>35</v>
      </c>
      <c r="C16" s="8" t="s">
        <v>36</v>
      </c>
      <c r="D16" s="9">
        <v>12.0</v>
      </c>
      <c r="E16" s="10">
        <f t="shared" ref="E16:E23" si="2">D16*$D$3</f>
        <v>7.2</v>
      </c>
      <c r="F16" s="11" t="s">
        <v>37</v>
      </c>
    </row>
    <row r="17">
      <c r="A17" s="7" t="s">
        <v>34</v>
      </c>
      <c r="B17" s="7" t="s">
        <v>38</v>
      </c>
      <c r="C17" s="8" t="s">
        <v>39</v>
      </c>
      <c r="D17" s="9">
        <v>13.0</v>
      </c>
      <c r="E17" s="10">
        <f t="shared" si="2"/>
        <v>7.8</v>
      </c>
      <c r="F17" s="11" t="s">
        <v>40</v>
      </c>
    </row>
    <row r="18">
      <c r="A18" s="7" t="s">
        <v>34</v>
      </c>
      <c r="B18" s="7" t="s">
        <v>41</v>
      </c>
      <c r="C18" s="8" t="s">
        <v>42</v>
      </c>
      <c r="D18" s="9">
        <v>9.0</v>
      </c>
      <c r="E18" s="10">
        <f t="shared" si="2"/>
        <v>5.4</v>
      </c>
      <c r="F18" s="11" t="s">
        <v>43</v>
      </c>
    </row>
    <row r="19">
      <c r="A19" s="7" t="s">
        <v>34</v>
      </c>
      <c r="B19" s="7" t="s">
        <v>44</v>
      </c>
      <c r="C19" s="8" t="s">
        <v>45</v>
      </c>
      <c r="D19" s="9">
        <v>6.5</v>
      </c>
      <c r="E19" s="10">
        <f t="shared" si="2"/>
        <v>3.9</v>
      </c>
      <c r="F19" s="11" t="s">
        <v>46</v>
      </c>
    </row>
    <row r="20">
      <c r="A20" s="7" t="s">
        <v>34</v>
      </c>
      <c r="B20" s="7" t="s">
        <v>47</v>
      </c>
      <c r="C20" s="8" t="s">
        <v>48</v>
      </c>
      <c r="D20" s="9">
        <v>8.0</v>
      </c>
      <c r="E20" s="10">
        <f t="shared" si="2"/>
        <v>4.8</v>
      </c>
      <c r="F20" s="11" t="s">
        <v>49</v>
      </c>
    </row>
    <row r="21" ht="15.75" customHeight="1">
      <c r="A21" s="7" t="s">
        <v>34</v>
      </c>
      <c r="B21" s="7" t="s">
        <v>27</v>
      </c>
      <c r="C21" s="8" t="s">
        <v>28</v>
      </c>
      <c r="D21" s="9">
        <v>8.0</v>
      </c>
      <c r="E21" s="10">
        <f t="shared" si="2"/>
        <v>4.8</v>
      </c>
      <c r="F21" s="11" t="s">
        <v>29</v>
      </c>
    </row>
    <row r="22" ht="15.75" customHeight="1">
      <c r="A22" s="7" t="s">
        <v>34</v>
      </c>
      <c r="B22" s="7" t="s">
        <v>30</v>
      </c>
      <c r="C22" s="8" t="s">
        <v>50</v>
      </c>
      <c r="D22" s="9">
        <v>1.0</v>
      </c>
      <c r="E22" s="10">
        <f t="shared" si="2"/>
        <v>0.6</v>
      </c>
      <c r="F22" s="11" t="s">
        <v>51</v>
      </c>
    </row>
    <row r="23" ht="15.75" customHeight="1">
      <c r="A23" s="12"/>
      <c r="B23" s="12"/>
      <c r="C23" s="13" t="s">
        <v>52</v>
      </c>
      <c r="D23" s="14">
        <f>SUM(D16:D22)</f>
        <v>57.5</v>
      </c>
      <c r="E23" s="15">
        <f t="shared" si="2"/>
        <v>34.5</v>
      </c>
      <c r="F23" s="12"/>
    </row>
    <row r="24" ht="15.75" customHeight="1"/>
    <row r="25" ht="15.75" customHeight="1">
      <c r="A25" s="16"/>
      <c r="B25" s="16"/>
      <c r="C25" s="17" t="s">
        <v>53</v>
      </c>
      <c r="D25" s="18">
        <f t="shared" ref="D25:E25" si="3">D14+D23</f>
        <v>161.5</v>
      </c>
      <c r="E25" s="19">
        <f t="shared" si="3"/>
        <v>96.9</v>
      </c>
      <c r="F25" s="16"/>
    </row>
    <row r="26" ht="15.75" customHeight="1">
      <c r="A26" s="16"/>
      <c r="B26" s="16"/>
      <c r="C26" s="20" t="s">
        <v>54</v>
      </c>
      <c r="D26" s="21" t="str">
        <f t="shared" ref="D26:E26" si="4">TEXT(D25/20,"0.0")&amp;"ヶ月"</f>
        <v>8.1ヶ月</v>
      </c>
      <c r="E26" s="21" t="str">
        <f t="shared" si="4"/>
        <v>4.8ヶ月</v>
      </c>
      <c r="F26" s="16"/>
    </row>
    <row r="27" ht="15.75" customHeight="1"/>
    <row r="28" ht="15.75" customHeight="1">
      <c r="A28" s="3" t="s">
        <v>55</v>
      </c>
    </row>
    <row r="29" ht="15.75" customHeight="1">
      <c r="A29" s="5" t="s">
        <v>56</v>
      </c>
    </row>
    <row r="30" ht="15.75" customHeight="1">
      <c r="A30" s="5" t="s">
        <v>57</v>
      </c>
    </row>
    <row r="31" ht="15.75" customHeight="1">
      <c r="A31" s="5" t="s">
        <v>58</v>
      </c>
    </row>
    <row r="32" ht="15.75" customHeight="1">
      <c r="A32" s="5" t="s">
        <v>59</v>
      </c>
    </row>
    <row r="33" ht="15.75" customHeight="1">
      <c r="A33" s="5" t="s">
        <v>60</v>
      </c>
    </row>
    <row r="34" ht="15.75" customHeight="1"/>
    <row r="35" ht="15.75" customHeight="1">
      <c r="A35" s="3"/>
    </row>
    <row r="36" ht="15.75" customHeight="1">
      <c r="A36" s="22"/>
    </row>
    <row r="37" ht="15.75" customHeight="1">
      <c r="A37" s="22"/>
    </row>
    <row r="38" ht="15.75" customHeight="1">
      <c r="A38" s="22"/>
    </row>
    <row r="39" ht="15.75" customHeight="1">
      <c r="A39" s="22"/>
    </row>
    <row r="40" ht="15.75" customHeight="1">
      <c r="A40" s="22"/>
    </row>
    <row r="41" ht="15.75" customHeight="1">
      <c r="A41" s="22"/>
    </row>
    <row r="42" ht="15.75" customHeight="1">
      <c r="A42" s="22"/>
    </row>
    <row r="43" ht="15.75" customHeight="1">
      <c r="A43" s="22"/>
    </row>
    <row r="44" ht="15.75" customHeight="1">
      <c r="A44" s="22"/>
    </row>
    <row r="45" ht="15.75" customHeight="1">
      <c r="A45" s="22"/>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8:F38"/>
    <mergeCell ref="A39:F39"/>
    <mergeCell ref="A40:F40"/>
    <mergeCell ref="A41:F41"/>
    <mergeCell ref="A42:F42"/>
    <mergeCell ref="A43:F43"/>
    <mergeCell ref="A44:F44"/>
    <mergeCell ref="A45:F45"/>
    <mergeCell ref="A29:F29"/>
    <mergeCell ref="A30:F30"/>
    <mergeCell ref="A31:F31"/>
    <mergeCell ref="A32:F32"/>
    <mergeCell ref="A33:F33"/>
    <mergeCell ref="A36:F36"/>
    <mergeCell ref="A37:F3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22.0"/>
    <col customWidth="1" min="4" max="4" width="55.0"/>
    <col customWidth="1" hidden="1" min="5" max="5" width="0.43"/>
    <col customWidth="1" min="6" max="6" width="12.0"/>
    <col customWidth="1" min="7" max="7" width="45.0"/>
    <col customWidth="1" min="8" max="8" width="30.0"/>
    <col customWidth="1" min="9" max="9" width="25.0"/>
    <col customWidth="1" min="10" max="26" width="8.71"/>
  </cols>
  <sheetData>
    <row r="1" ht="30.0" customHeight="1">
      <c r="A1" s="6" t="s">
        <v>2</v>
      </c>
      <c r="B1" s="6" t="s">
        <v>3</v>
      </c>
      <c r="C1" s="6" t="s">
        <v>4</v>
      </c>
      <c r="D1" s="6" t="s">
        <v>61</v>
      </c>
      <c r="E1" s="6" t="s">
        <v>5</v>
      </c>
      <c r="F1" s="6" t="s">
        <v>6</v>
      </c>
      <c r="G1" s="6" t="s">
        <v>62</v>
      </c>
      <c r="H1" s="6" t="s">
        <v>63</v>
      </c>
      <c r="I1" s="6" t="s">
        <v>7</v>
      </c>
    </row>
    <row r="2">
      <c r="A2" s="23" t="s">
        <v>8</v>
      </c>
      <c r="B2" s="24"/>
      <c r="C2" s="25" t="s">
        <v>64</v>
      </c>
      <c r="D2" s="24"/>
      <c r="E2" s="24"/>
      <c r="F2" s="24"/>
      <c r="G2" s="24"/>
      <c r="H2" s="24"/>
      <c r="I2" s="24"/>
    </row>
    <row r="3">
      <c r="A3" s="26" t="s">
        <v>8</v>
      </c>
      <c r="B3" s="26" t="s">
        <v>9</v>
      </c>
      <c r="C3" s="27" t="s">
        <v>10</v>
      </c>
      <c r="D3" s="27"/>
      <c r="E3" s="26">
        <v>11.0</v>
      </c>
      <c r="F3" s="28">
        <f>E3*'サマリー'!$D$3</f>
        <v>6.6</v>
      </c>
      <c r="G3" s="27"/>
      <c r="H3" s="27"/>
      <c r="I3" s="27"/>
    </row>
    <row r="4" ht="45.0" customHeight="1">
      <c r="A4" s="7" t="s">
        <v>8</v>
      </c>
      <c r="B4" s="7" t="s">
        <v>65</v>
      </c>
      <c r="C4" s="8" t="s">
        <v>66</v>
      </c>
      <c r="D4" s="8" t="s">
        <v>67</v>
      </c>
      <c r="E4" s="9">
        <v>3.0</v>
      </c>
      <c r="F4" s="29">
        <v>2.0</v>
      </c>
      <c r="G4" s="30"/>
      <c r="H4" s="31"/>
      <c r="I4" s="11"/>
    </row>
    <row r="5" ht="39.75" customHeight="1">
      <c r="A5" s="7" t="s">
        <v>8</v>
      </c>
      <c r="B5" s="7" t="s">
        <v>68</v>
      </c>
      <c r="C5" s="8" t="s">
        <v>69</v>
      </c>
      <c r="D5" s="8" t="s">
        <v>70</v>
      </c>
      <c r="E5" s="9">
        <v>2.0</v>
      </c>
      <c r="F5" s="29">
        <v>1.0</v>
      </c>
      <c r="G5" s="30"/>
      <c r="H5" s="31"/>
      <c r="I5" s="11"/>
    </row>
    <row r="6" ht="54.75" customHeight="1">
      <c r="A6" s="7" t="s">
        <v>8</v>
      </c>
      <c r="B6" s="7" t="s">
        <v>71</v>
      </c>
      <c r="C6" s="8" t="s">
        <v>72</v>
      </c>
      <c r="D6" s="8" t="s">
        <v>73</v>
      </c>
      <c r="E6" s="9">
        <v>3.0</v>
      </c>
      <c r="F6" s="29">
        <v>2.0</v>
      </c>
      <c r="G6" s="30"/>
      <c r="H6" s="31"/>
      <c r="I6" s="11"/>
    </row>
    <row r="7" ht="39.75" customHeight="1">
      <c r="A7" s="7" t="s">
        <v>8</v>
      </c>
      <c r="B7" s="7" t="s">
        <v>74</v>
      </c>
      <c r="C7" s="8" t="s">
        <v>75</v>
      </c>
      <c r="D7" s="8" t="s">
        <v>76</v>
      </c>
      <c r="E7" s="9">
        <v>1.5</v>
      </c>
      <c r="F7" s="29">
        <v>0.5</v>
      </c>
      <c r="G7" s="30"/>
      <c r="H7" s="31"/>
      <c r="I7" s="11"/>
    </row>
    <row r="8" ht="34.5" customHeight="1">
      <c r="A8" s="7" t="s">
        <v>8</v>
      </c>
      <c r="B8" s="7" t="s">
        <v>77</v>
      </c>
      <c r="C8" s="8" t="s">
        <v>78</v>
      </c>
      <c r="D8" s="8" t="s">
        <v>79</v>
      </c>
      <c r="E8" s="9">
        <v>1.5</v>
      </c>
      <c r="F8" s="29">
        <v>1.0</v>
      </c>
      <c r="G8" s="30"/>
      <c r="H8" s="31"/>
      <c r="I8" s="11"/>
    </row>
    <row r="9">
      <c r="A9" s="23" t="s">
        <v>8</v>
      </c>
      <c r="B9" s="24"/>
      <c r="C9" s="25" t="s">
        <v>80</v>
      </c>
      <c r="D9" s="24"/>
      <c r="E9" s="24"/>
      <c r="F9" s="24"/>
      <c r="G9" s="24"/>
      <c r="H9" s="24"/>
      <c r="I9" s="24"/>
    </row>
    <row r="10">
      <c r="A10" s="26" t="s">
        <v>8</v>
      </c>
      <c r="B10" s="26" t="s">
        <v>12</v>
      </c>
      <c r="C10" s="27" t="s">
        <v>13</v>
      </c>
      <c r="D10" s="27"/>
      <c r="E10" s="26">
        <v>30.0</v>
      </c>
      <c r="F10" s="28">
        <f>E10*'サマリー'!$D$3</f>
        <v>18</v>
      </c>
      <c r="G10" s="27"/>
      <c r="H10" s="27"/>
      <c r="I10" s="27"/>
    </row>
    <row r="11" ht="109.5" customHeight="1">
      <c r="A11" s="7" t="s">
        <v>8</v>
      </c>
      <c r="B11" s="7" t="s">
        <v>81</v>
      </c>
      <c r="C11" s="8" t="s">
        <v>82</v>
      </c>
      <c r="D11" s="8" t="s">
        <v>83</v>
      </c>
      <c r="E11" s="9">
        <v>14.0</v>
      </c>
      <c r="F11" s="10">
        <f>E11*'サマリー'!$D$3</f>
        <v>8.4</v>
      </c>
      <c r="G11" s="30" t="s">
        <v>84</v>
      </c>
      <c r="H11" s="31" t="s">
        <v>85</v>
      </c>
      <c r="I11" s="11" t="s">
        <v>86</v>
      </c>
    </row>
    <row r="12" ht="99.75" customHeight="1">
      <c r="A12" s="7" t="s">
        <v>8</v>
      </c>
      <c r="B12" s="7" t="s">
        <v>87</v>
      </c>
      <c r="C12" s="8" t="s">
        <v>88</v>
      </c>
      <c r="D12" s="8" t="s">
        <v>89</v>
      </c>
      <c r="E12" s="9">
        <v>10.0</v>
      </c>
      <c r="F12" s="10">
        <f>E12*'サマリー'!$D$3</f>
        <v>6</v>
      </c>
      <c r="G12" s="30" t="s">
        <v>90</v>
      </c>
      <c r="H12" s="31" t="s">
        <v>91</v>
      </c>
      <c r="I12" s="11" t="s">
        <v>92</v>
      </c>
    </row>
    <row r="13" ht="54.75" customHeight="1">
      <c r="A13" s="7" t="s">
        <v>8</v>
      </c>
      <c r="B13" s="7" t="s">
        <v>93</v>
      </c>
      <c r="C13" s="8" t="s">
        <v>94</v>
      </c>
      <c r="D13" s="8" t="s">
        <v>95</v>
      </c>
      <c r="E13" s="9">
        <v>3.0</v>
      </c>
      <c r="F13" s="10">
        <f>E13*'サマリー'!$D$3</f>
        <v>1.8</v>
      </c>
      <c r="G13" s="30"/>
      <c r="H13" s="31"/>
      <c r="I13" s="11" t="s">
        <v>96</v>
      </c>
    </row>
    <row r="14" ht="79.5" customHeight="1">
      <c r="A14" s="7" t="s">
        <v>8</v>
      </c>
      <c r="B14" s="7" t="s">
        <v>97</v>
      </c>
      <c r="C14" s="8" t="s">
        <v>98</v>
      </c>
      <c r="D14" s="8" t="s">
        <v>99</v>
      </c>
      <c r="E14" s="9">
        <v>3.0</v>
      </c>
      <c r="F14" s="10">
        <f>E14*'サマリー'!$D$3</f>
        <v>1.8</v>
      </c>
      <c r="G14" s="30" t="s">
        <v>100</v>
      </c>
      <c r="H14" s="31"/>
      <c r="I14" s="11" t="s">
        <v>101</v>
      </c>
    </row>
    <row r="15">
      <c r="A15" s="23" t="s">
        <v>8</v>
      </c>
      <c r="B15" s="24"/>
      <c r="C15" s="25" t="s">
        <v>102</v>
      </c>
      <c r="D15" s="24"/>
      <c r="E15" s="24"/>
      <c r="F15" s="24"/>
      <c r="G15" s="24"/>
      <c r="H15" s="24"/>
      <c r="I15" s="24"/>
    </row>
    <row r="16">
      <c r="A16" s="26" t="s">
        <v>8</v>
      </c>
      <c r="B16" s="26" t="s">
        <v>15</v>
      </c>
      <c r="C16" s="27" t="s">
        <v>16</v>
      </c>
      <c r="D16" s="27"/>
      <c r="E16" s="26">
        <v>22.0</v>
      </c>
      <c r="F16" s="28">
        <f>E16*'サマリー'!$D$3</f>
        <v>13.2</v>
      </c>
      <c r="G16" s="27"/>
      <c r="H16" s="27"/>
      <c r="I16" s="27"/>
    </row>
    <row r="17" ht="69.75" customHeight="1">
      <c r="A17" s="7" t="s">
        <v>8</v>
      </c>
      <c r="B17" s="7" t="s">
        <v>103</v>
      </c>
      <c r="C17" s="8" t="s">
        <v>104</v>
      </c>
      <c r="D17" s="8" t="s">
        <v>105</v>
      </c>
      <c r="E17" s="9">
        <v>3.0</v>
      </c>
      <c r="F17" s="29">
        <v>2.0</v>
      </c>
      <c r="G17" s="30" t="s">
        <v>106</v>
      </c>
      <c r="H17" s="31"/>
      <c r="I17" s="11" t="s">
        <v>107</v>
      </c>
    </row>
    <row r="18" ht="75.0" customHeight="1">
      <c r="A18" s="7" t="s">
        <v>8</v>
      </c>
      <c r="B18" s="7" t="s">
        <v>108</v>
      </c>
      <c r="C18" s="8" t="s">
        <v>109</v>
      </c>
      <c r="D18" s="8" t="s">
        <v>110</v>
      </c>
      <c r="E18" s="9">
        <v>6.0</v>
      </c>
      <c r="F18" s="29">
        <v>3.0</v>
      </c>
      <c r="G18" s="30"/>
      <c r="H18" s="31"/>
      <c r="I18" s="11" t="s">
        <v>111</v>
      </c>
    </row>
    <row r="19" ht="75.0" customHeight="1">
      <c r="A19" s="7" t="s">
        <v>8</v>
      </c>
      <c r="B19" s="7" t="s">
        <v>112</v>
      </c>
      <c r="C19" s="8" t="s">
        <v>113</v>
      </c>
      <c r="D19" s="8" t="s">
        <v>114</v>
      </c>
      <c r="E19" s="9">
        <v>5.0</v>
      </c>
      <c r="F19" s="10">
        <f>E19*'サマリー'!$D$3</f>
        <v>3</v>
      </c>
      <c r="G19" s="30"/>
      <c r="H19" s="31"/>
      <c r="I19" s="11" t="s">
        <v>115</v>
      </c>
    </row>
    <row r="20" ht="64.5" customHeight="1">
      <c r="A20" s="7" t="s">
        <v>8</v>
      </c>
      <c r="B20" s="7" t="s">
        <v>116</v>
      </c>
      <c r="C20" s="8" t="s">
        <v>117</v>
      </c>
      <c r="D20" s="8" t="s">
        <v>118</v>
      </c>
      <c r="E20" s="9">
        <v>5.0</v>
      </c>
      <c r="F20" s="10">
        <f>E20*'サマリー'!$D$3</f>
        <v>3</v>
      </c>
      <c r="G20" s="30"/>
      <c r="H20" s="31"/>
      <c r="I20" s="11" t="s">
        <v>119</v>
      </c>
    </row>
    <row r="21" ht="54.75" customHeight="1">
      <c r="A21" s="7" t="s">
        <v>8</v>
      </c>
      <c r="B21" s="7" t="s">
        <v>120</v>
      </c>
      <c r="C21" s="8" t="s">
        <v>121</v>
      </c>
      <c r="D21" s="8" t="s">
        <v>122</v>
      </c>
      <c r="E21" s="9">
        <v>3.0</v>
      </c>
      <c r="F21" s="10">
        <f>E21*'サマリー'!$D$3</f>
        <v>1.8</v>
      </c>
      <c r="G21" s="30"/>
      <c r="H21" s="31"/>
      <c r="I21" s="11"/>
    </row>
    <row r="22" ht="15.75" customHeight="1">
      <c r="A22" s="23" t="s">
        <v>8</v>
      </c>
      <c r="B22" s="24"/>
      <c r="C22" s="25" t="s">
        <v>123</v>
      </c>
      <c r="D22" s="24"/>
      <c r="E22" s="24"/>
      <c r="F22" s="24"/>
      <c r="G22" s="24"/>
      <c r="H22" s="24"/>
      <c r="I22" s="24"/>
    </row>
    <row r="23" ht="15.75" customHeight="1">
      <c r="A23" s="26" t="s">
        <v>8</v>
      </c>
      <c r="B23" s="26" t="s">
        <v>18</v>
      </c>
      <c r="C23" s="27" t="s">
        <v>19</v>
      </c>
      <c r="D23" s="27"/>
      <c r="E23" s="26">
        <v>12.0</v>
      </c>
      <c r="F23" s="28">
        <f>E23*'サマリー'!$D$3</f>
        <v>7.2</v>
      </c>
      <c r="G23" s="27"/>
      <c r="H23" s="27"/>
      <c r="I23" s="27"/>
    </row>
    <row r="24" ht="54.75" customHeight="1">
      <c r="A24" s="7" t="s">
        <v>8</v>
      </c>
      <c r="B24" s="7" t="s">
        <v>124</v>
      </c>
      <c r="C24" s="8" t="s">
        <v>125</v>
      </c>
      <c r="D24" s="8" t="s">
        <v>126</v>
      </c>
      <c r="E24" s="9">
        <v>4.0</v>
      </c>
      <c r="F24" s="29">
        <v>3.0</v>
      </c>
      <c r="G24" s="30"/>
      <c r="H24" s="31"/>
      <c r="I24" s="11"/>
    </row>
    <row r="25" ht="39.75" customHeight="1">
      <c r="A25" s="7" t="s">
        <v>8</v>
      </c>
      <c r="B25" s="7" t="s">
        <v>127</v>
      </c>
      <c r="C25" s="8" t="s">
        <v>128</v>
      </c>
      <c r="D25" s="8" t="s">
        <v>129</v>
      </c>
      <c r="E25" s="9">
        <v>3.0</v>
      </c>
      <c r="F25" s="10">
        <f>E25*'サマリー'!$D$3</f>
        <v>1.8</v>
      </c>
      <c r="G25" s="30"/>
      <c r="H25" s="31"/>
      <c r="I25" s="11"/>
    </row>
    <row r="26" ht="79.5" customHeight="1">
      <c r="A26" s="7" t="s">
        <v>8</v>
      </c>
      <c r="B26" s="7" t="s">
        <v>130</v>
      </c>
      <c r="C26" s="8" t="s">
        <v>131</v>
      </c>
      <c r="D26" s="8" t="s">
        <v>132</v>
      </c>
      <c r="E26" s="9">
        <v>5.0</v>
      </c>
      <c r="F26" s="10">
        <f>E26*'サマリー'!$D$3</f>
        <v>3</v>
      </c>
      <c r="G26" s="30"/>
      <c r="H26" s="31"/>
      <c r="I26" s="11" t="s">
        <v>133</v>
      </c>
    </row>
    <row r="27" ht="15.75" customHeight="1">
      <c r="A27" s="23" t="s">
        <v>8</v>
      </c>
      <c r="B27" s="24"/>
      <c r="C27" s="25" t="s">
        <v>134</v>
      </c>
      <c r="D27" s="24"/>
      <c r="E27" s="24"/>
      <c r="F27" s="24"/>
      <c r="G27" s="24"/>
      <c r="H27" s="24"/>
      <c r="I27" s="24"/>
    </row>
    <row r="28" ht="15.75" customHeight="1">
      <c r="A28" s="26" t="s">
        <v>8</v>
      </c>
      <c r="B28" s="26" t="s">
        <v>21</v>
      </c>
      <c r="C28" s="27" t="s">
        <v>22</v>
      </c>
      <c r="D28" s="27"/>
      <c r="E28" s="26">
        <v>8.0</v>
      </c>
      <c r="F28" s="28">
        <f>E28*'サマリー'!$D$3</f>
        <v>4.8</v>
      </c>
      <c r="G28" s="27"/>
      <c r="H28" s="27"/>
      <c r="I28" s="27"/>
    </row>
    <row r="29" ht="60.0" customHeight="1">
      <c r="A29" s="7" t="s">
        <v>8</v>
      </c>
      <c r="B29" s="7" t="s">
        <v>135</v>
      </c>
      <c r="C29" s="8" t="s">
        <v>136</v>
      </c>
      <c r="D29" s="8" t="s">
        <v>137</v>
      </c>
      <c r="E29" s="9">
        <v>3.0</v>
      </c>
      <c r="F29" s="10">
        <f>E29*'サマリー'!$D$3</f>
        <v>1.8</v>
      </c>
      <c r="G29" s="30"/>
      <c r="H29" s="31"/>
      <c r="I29" s="11" t="s">
        <v>138</v>
      </c>
    </row>
    <row r="30" ht="45.0" customHeight="1">
      <c r="A30" s="7" t="s">
        <v>8</v>
      </c>
      <c r="B30" s="7" t="s">
        <v>139</v>
      </c>
      <c r="C30" s="8" t="s">
        <v>140</v>
      </c>
      <c r="D30" s="8" t="s">
        <v>141</v>
      </c>
      <c r="E30" s="9">
        <v>2.0</v>
      </c>
      <c r="F30" s="10">
        <f>E30*'サマリー'!$D$3</f>
        <v>1.2</v>
      </c>
      <c r="G30" s="30"/>
      <c r="H30" s="31"/>
      <c r="I30" s="11"/>
    </row>
    <row r="31" ht="60.0" customHeight="1">
      <c r="A31" s="7" t="s">
        <v>8</v>
      </c>
      <c r="B31" s="7" t="s">
        <v>142</v>
      </c>
      <c r="C31" s="8" t="s">
        <v>143</v>
      </c>
      <c r="D31" s="8" t="s">
        <v>144</v>
      </c>
      <c r="E31" s="9">
        <v>3.0</v>
      </c>
      <c r="F31" s="10">
        <f>E31*'サマリー'!$D$3</f>
        <v>1.8</v>
      </c>
      <c r="G31" s="30" t="s">
        <v>145</v>
      </c>
      <c r="H31" s="31"/>
      <c r="I31" s="11"/>
    </row>
    <row r="32" ht="15.75" customHeight="1">
      <c r="A32" s="23" t="s">
        <v>8</v>
      </c>
      <c r="B32" s="24"/>
      <c r="C32" s="25" t="s">
        <v>146</v>
      </c>
      <c r="D32" s="24"/>
      <c r="E32" s="24"/>
      <c r="F32" s="24"/>
      <c r="G32" s="24"/>
      <c r="H32" s="24"/>
      <c r="I32" s="24"/>
    </row>
    <row r="33" ht="15.75" customHeight="1">
      <c r="A33" s="26" t="s">
        <v>8</v>
      </c>
      <c r="B33" s="26" t="s">
        <v>24</v>
      </c>
      <c r="C33" s="27" t="s">
        <v>25</v>
      </c>
      <c r="D33" s="27"/>
      <c r="E33" s="26">
        <v>3.0</v>
      </c>
      <c r="F33" s="28">
        <f>E33*'サマリー'!$D$3</f>
        <v>1.8</v>
      </c>
      <c r="G33" s="27"/>
      <c r="H33" s="27"/>
      <c r="I33" s="27"/>
    </row>
    <row r="34" ht="64.5" customHeight="1">
      <c r="A34" s="7" t="s">
        <v>8</v>
      </c>
      <c r="B34" s="7" t="s">
        <v>147</v>
      </c>
      <c r="C34" s="8" t="s">
        <v>148</v>
      </c>
      <c r="D34" s="8" t="s">
        <v>149</v>
      </c>
      <c r="E34" s="9">
        <v>3.0</v>
      </c>
      <c r="F34" s="10">
        <f>E34*'サマリー'!$D$3</f>
        <v>1.8</v>
      </c>
      <c r="G34" s="30"/>
      <c r="H34" s="31" t="s">
        <v>150</v>
      </c>
      <c r="I34" s="11"/>
    </row>
    <row r="35" ht="15.75" customHeight="1">
      <c r="A35" s="23" t="s">
        <v>8</v>
      </c>
      <c r="B35" s="24"/>
      <c r="C35" s="25" t="s">
        <v>151</v>
      </c>
      <c r="D35" s="24"/>
      <c r="E35" s="24"/>
      <c r="F35" s="24"/>
      <c r="G35" s="24"/>
      <c r="H35" s="24"/>
      <c r="I35" s="24"/>
    </row>
    <row r="36" ht="15.75" customHeight="1">
      <c r="A36" s="26" t="s">
        <v>8</v>
      </c>
      <c r="B36" s="26" t="s">
        <v>27</v>
      </c>
      <c r="C36" s="27" t="s">
        <v>151</v>
      </c>
      <c r="D36" s="27"/>
      <c r="E36" s="26">
        <v>13.0</v>
      </c>
      <c r="F36" s="28">
        <f>E36*'サマリー'!$D$3</f>
        <v>7.8</v>
      </c>
      <c r="G36" s="27"/>
      <c r="H36" s="27"/>
      <c r="I36" s="27"/>
    </row>
    <row r="37" ht="90.0" customHeight="1">
      <c r="A37" s="7" t="s">
        <v>8</v>
      </c>
      <c r="B37" s="7" t="s">
        <v>152</v>
      </c>
      <c r="C37" s="8" t="s">
        <v>153</v>
      </c>
      <c r="D37" s="8" t="s">
        <v>154</v>
      </c>
      <c r="E37" s="9">
        <v>8.0</v>
      </c>
      <c r="F37" s="10">
        <f>E37*'サマリー'!$D$3</f>
        <v>4.8</v>
      </c>
      <c r="G37" s="30"/>
      <c r="H37" s="31"/>
      <c r="I37" s="11" t="s">
        <v>155</v>
      </c>
    </row>
    <row r="38" ht="49.5" customHeight="1">
      <c r="A38" s="7" t="s">
        <v>8</v>
      </c>
      <c r="B38" s="7" t="s">
        <v>156</v>
      </c>
      <c r="C38" s="8" t="s">
        <v>157</v>
      </c>
      <c r="D38" s="8" t="s">
        <v>158</v>
      </c>
      <c r="E38" s="9">
        <v>5.0</v>
      </c>
      <c r="F38" s="10">
        <f>E38*'サマリー'!$D$3</f>
        <v>3</v>
      </c>
      <c r="G38" s="30"/>
      <c r="H38" s="31"/>
      <c r="I38" s="11"/>
    </row>
    <row r="39" ht="15.75" customHeight="1">
      <c r="A39" s="23" t="s">
        <v>8</v>
      </c>
      <c r="B39" s="24"/>
      <c r="C39" s="25" t="s">
        <v>159</v>
      </c>
      <c r="D39" s="24"/>
      <c r="E39" s="24"/>
      <c r="F39" s="24"/>
      <c r="G39" s="24"/>
      <c r="H39" s="24"/>
      <c r="I39" s="24"/>
    </row>
    <row r="40" ht="15.75" customHeight="1">
      <c r="A40" s="26" t="s">
        <v>8</v>
      </c>
      <c r="B40" s="26" t="s">
        <v>30</v>
      </c>
      <c r="C40" s="27" t="s">
        <v>31</v>
      </c>
      <c r="D40" s="27"/>
      <c r="E40" s="26">
        <v>5.0</v>
      </c>
      <c r="F40" s="28">
        <f>E40*'サマリー'!$D$3</f>
        <v>3</v>
      </c>
      <c r="G40" s="27"/>
      <c r="H40" s="27"/>
      <c r="I40" s="27"/>
    </row>
    <row r="41" ht="34.5" customHeight="1">
      <c r="A41" s="7" t="s">
        <v>8</v>
      </c>
      <c r="B41" s="7" t="s">
        <v>160</v>
      </c>
      <c r="C41" s="8" t="s">
        <v>161</v>
      </c>
      <c r="D41" s="8" t="s">
        <v>162</v>
      </c>
      <c r="E41" s="9">
        <v>1.0</v>
      </c>
      <c r="F41" s="10">
        <f>E41*'サマリー'!$D$3</f>
        <v>0.6</v>
      </c>
      <c r="G41" s="30"/>
      <c r="H41" s="31"/>
      <c r="I41" s="11"/>
    </row>
    <row r="42" ht="34.5" customHeight="1">
      <c r="A42" s="7" t="s">
        <v>8</v>
      </c>
      <c r="B42" s="7" t="s">
        <v>163</v>
      </c>
      <c r="C42" s="8" t="s">
        <v>164</v>
      </c>
      <c r="D42" s="8" t="s">
        <v>165</v>
      </c>
      <c r="E42" s="9">
        <v>1.0</v>
      </c>
      <c r="F42" s="10">
        <f>E42*'サマリー'!$D$3</f>
        <v>0.6</v>
      </c>
      <c r="G42" s="30"/>
      <c r="H42" s="31"/>
      <c r="I42" s="11"/>
    </row>
    <row r="43" ht="39.75" customHeight="1">
      <c r="A43" s="7" t="s">
        <v>8</v>
      </c>
      <c r="B43" s="7" t="s">
        <v>166</v>
      </c>
      <c r="C43" s="8" t="s">
        <v>167</v>
      </c>
      <c r="D43" s="8" t="s">
        <v>168</v>
      </c>
      <c r="E43" s="9">
        <v>2.0</v>
      </c>
      <c r="F43" s="29">
        <v>2.0</v>
      </c>
      <c r="G43" s="30"/>
      <c r="H43" s="31"/>
      <c r="I43" s="11"/>
    </row>
    <row r="44" ht="34.5" customHeight="1">
      <c r="A44" s="7" t="s">
        <v>8</v>
      </c>
      <c r="B44" s="7" t="s">
        <v>169</v>
      </c>
      <c r="C44" s="8" t="s">
        <v>170</v>
      </c>
      <c r="D44" s="8" t="s">
        <v>171</v>
      </c>
      <c r="E44" s="9">
        <v>1.0</v>
      </c>
      <c r="F44" s="10">
        <f>E44*'サマリー'!$D$3</f>
        <v>0.6</v>
      </c>
      <c r="G44" s="30"/>
      <c r="H44" s="31"/>
      <c r="I44" s="11"/>
    </row>
    <row r="45" ht="15.75" customHeight="1"/>
    <row r="46" ht="15.75" customHeight="1">
      <c r="A46" s="12"/>
      <c r="B46" s="12"/>
      <c r="C46" s="13" t="s">
        <v>33</v>
      </c>
      <c r="D46" s="12"/>
      <c r="E46" s="14">
        <v>103.0</v>
      </c>
      <c r="F46" s="15">
        <f>E46*'サマリー'!$D$3</f>
        <v>61.8</v>
      </c>
      <c r="G46" s="12"/>
      <c r="H46" s="12"/>
      <c r="I46" s="1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22.0"/>
    <col customWidth="1" min="4" max="4" width="55.0"/>
    <col customWidth="1" hidden="1" min="5" max="5" width="0.43"/>
    <col customWidth="1" min="6" max="6" width="12.0"/>
    <col customWidth="1" min="7" max="7" width="45.0"/>
    <col customWidth="1" min="8" max="8" width="30.0"/>
    <col customWidth="1" min="9" max="9" width="25.0"/>
    <col customWidth="1" min="10" max="26" width="8.71"/>
  </cols>
  <sheetData>
    <row r="1" ht="30.0" customHeight="1">
      <c r="A1" s="6" t="s">
        <v>2</v>
      </c>
      <c r="B1" s="6" t="s">
        <v>3</v>
      </c>
      <c r="C1" s="6" t="s">
        <v>4</v>
      </c>
      <c r="D1" s="6" t="s">
        <v>61</v>
      </c>
      <c r="E1" s="6" t="s">
        <v>5</v>
      </c>
      <c r="F1" s="6" t="s">
        <v>6</v>
      </c>
      <c r="G1" s="6" t="s">
        <v>62</v>
      </c>
      <c r="H1" s="6" t="s">
        <v>63</v>
      </c>
      <c r="I1" s="6" t="s">
        <v>7</v>
      </c>
    </row>
    <row r="2">
      <c r="A2" s="23" t="s">
        <v>34</v>
      </c>
      <c r="B2" s="24"/>
      <c r="C2" s="25" t="s">
        <v>172</v>
      </c>
      <c r="D2" s="24"/>
      <c r="E2" s="24"/>
      <c r="F2" s="24"/>
      <c r="G2" s="24"/>
      <c r="H2" s="24"/>
      <c r="I2" s="24"/>
    </row>
    <row r="3">
      <c r="A3" s="26" t="s">
        <v>34</v>
      </c>
      <c r="B3" s="26" t="s">
        <v>35</v>
      </c>
      <c r="C3" s="27" t="s">
        <v>36</v>
      </c>
      <c r="D3" s="27"/>
      <c r="E3" s="26">
        <v>12.0</v>
      </c>
      <c r="F3" s="28">
        <f>E3*'サマリー'!$D$3</f>
        <v>7.2</v>
      </c>
      <c r="G3" s="27"/>
      <c r="H3" s="27"/>
      <c r="I3" s="27"/>
    </row>
    <row r="4" ht="54.75" customHeight="1">
      <c r="A4" s="7" t="s">
        <v>34</v>
      </c>
      <c r="B4" s="7" t="s">
        <v>173</v>
      </c>
      <c r="C4" s="8" t="s">
        <v>174</v>
      </c>
      <c r="D4" s="8" t="s">
        <v>175</v>
      </c>
      <c r="E4" s="9">
        <v>3.0</v>
      </c>
      <c r="F4" s="10">
        <f>E4*'サマリー'!$D$3</f>
        <v>1.8</v>
      </c>
      <c r="G4" s="30"/>
      <c r="H4" s="31"/>
      <c r="I4" s="11"/>
    </row>
    <row r="5" ht="75.0" customHeight="1">
      <c r="A5" s="7" t="s">
        <v>34</v>
      </c>
      <c r="B5" s="7" t="s">
        <v>176</v>
      </c>
      <c r="C5" s="8" t="s">
        <v>177</v>
      </c>
      <c r="D5" s="8" t="s">
        <v>178</v>
      </c>
      <c r="E5" s="9">
        <v>5.0</v>
      </c>
      <c r="F5" s="10">
        <f>E5*'サマリー'!$D$3</f>
        <v>3</v>
      </c>
      <c r="G5" s="30"/>
      <c r="H5" s="31" t="s">
        <v>179</v>
      </c>
      <c r="I5" s="11" t="s">
        <v>180</v>
      </c>
    </row>
    <row r="6" ht="54.75" customHeight="1">
      <c r="A6" s="7" t="s">
        <v>34</v>
      </c>
      <c r="B6" s="7" t="s">
        <v>181</v>
      </c>
      <c r="C6" s="8" t="s">
        <v>182</v>
      </c>
      <c r="D6" s="8" t="s">
        <v>183</v>
      </c>
      <c r="E6" s="9">
        <v>4.0</v>
      </c>
      <c r="F6" s="10">
        <f>E6*'サマリー'!$D$3</f>
        <v>2.4</v>
      </c>
      <c r="G6" s="30"/>
      <c r="H6" s="31" t="s">
        <v>184</v>
      </c>
      <c r="I6" s="11"/>
    </row>
    <row r="7">
      <c r="A7" s="23" t="s">
        <v>34</v>
      </c>
      <c r="B7" s="24"/>
      <c r="C7" s="25" t="s">
        <v>185</v>
      </c>
      <c r="D7" s="24"/>
      <c r="E7" s="24"/>
      <c r="F7" s="24"/>
      <c r="G7" s="24"/>
      <c r="H7" s="24"/>
      <c r="I7" s="24"/>
    </row>
    <row r="8">
      <c r="A8" s="26" t="s">
        <v>34</v>
      </c>
      <c r="B8" s="26" t="s">
        <v>38</v>
      </c>
      <c r="C8" s="27" t="s">
        <v>39</v>
      </c>
      <c r="D8" s="27"/>
      <c r="E8" s="26">
        <v>13.0</v>
      </c>
      <c r="F8" s="28">
        <f>E8*'サマリー'!$D$3</f>
        <v>7.8</v>
      </c>
      <c r="G8" s="27"/>
      <c r="H8" s="27"/>
      <c r="I8" s="27"/>
    </row>
    <row r="9" ht="69.75" customHeight="1">
      <c r="A9" s="7" t="s">
        <v>34</v>
      </c>
      <c r="B9" s="7" t="s">
        <v>186</v>
      </c>
      <c r="C9" s="8" t="s">
        <v>187</v>
      </c>
      <c r="D9" s="8" t="s">
        <v>188</v>
      </c>
      <c r="E9" s="9">
        <v>4.0</v>
      </c>
      <c r="F9" s="10">
        <f>E9*'サマリー'!$D$3</f>
        <v>2.4</v>
      </c>
      <c r="G9" s="30" t="s">
        <v>189</v>
      </c>
      <c r="H9" s="31"/>
      <c r="I9" s="11"/>
    </row>
    <row r="10" ht="45.0" customHeight="1">
      <c r="A10" s="7" t="s">
        <v>34</v>
      </c>
      <c r="B10" s="7" t="s">
        <v>190</v>
      </c>
      <c r="C10" s="8" t="s">
        <v>191</v>
      </c>
      <c r="D10" s="8" t="s">
        <v>192</v>
      </c>
      <c r="E10" s="9">
        <v>3.0</v>
      </c>
      <c r="F10" s="10">
        <f>E10*'サマリー'!$D$3</f>
        <v>1.8</v>
      </c>
      <c r="G10" s="30"/>
      <c r="H10" s="31"/>
      <c r="I10" s="11"/>
    </row>
    <row r="11" ht="45.0" customHeight="1">
      <c r="A11" s="7" t="s">
        <v>34</v>
      </c>
      <c r="B11" s="7" t="s">
        <v>193</v>
      </c>
      <c r="C11" s="8" t="s">
        <v>194</v>
      </c>
      <c r="D11" s="8" t="s">
        <v>195</v>
      </c>
      <c r="E11" s="9">
        <v>3.0</v>
      </c>
      <c r="F11" s="10">
        <f>E11*'サマリー'!$D$3</f>
        <v>1.8</v>
      </c>
      <c r="G11" s="30"/>
      <c r="H11" s="31"/>
      <c r="I11" s="11"/>
    </row>
    <row r="12" ht="45.0" customHeight="1">
      <c r="A12" s="7" t="s">
        <v>34</v>
      </c>
      <c r="B12" s="7" t="s">
        <v>196</v>
      </c>
      <c r="C12" s="8" t="s">
        <v>197</v>
      </c>
      <c r="D12" s="8" t="s">
        <v>198</v>
      </c>
      <c r="E12" s="9">
        <v>3.0</v>
      </c>
      <c r="F12" s="10">
        <f>E12*'サマリー'!$D$3</f>
        <v>1.8</v>
      </c>
      <c r="G12" s="30"/>
      <c r="H12" s="31"/>
      <c r="I12" s="11"/>
    </row>
    <row r="13">
      <c r="A13" s="23" t="s">
        <v>34</v>
      </c>
      <c r="B13" s="24"/>
      <c r="C13" s="25" t="s">
        <v>199</v>
      </c>
      <c r="D13" s="24"/>
      <c r="E13" s="24"/>
      <c r="F13" s="24"/>
      <c r="G13" s="24"/>
      <c r="H13" s="24"/>
      <c r="I13" s="24"/>
    </row>
    <row r="14">
      <c r="A14" s="26" t="s">
        <v>34</v>
      </c>
      <c r="B14" s="26" t="s">
        <v>41</v>
      </c>
      <c r="C14" s="27" t="s">
        <v>42</v>
      </c>
      <c r="D14" s="27"/>
      <c r="E14" s="26">
        <v>9.0</v>
      </c>
      <c r="F14" s="28">
        <f>E14*'サマリー'!$D$3</f>
        <v>5.4</v>
      </c>
      <c r="G14" s="27"/>
      <c r="H14" s="27"/>
      <c r="I14" s="27"/>
    </row>
    <row r="15" ht="120.0" customHeight="1">
      <c r="A15" s="7" t="s">
        <v>34</v>
      </c>
      <c r="B15" s="7" t="s">
        <v>200</v>
      </c>
      <c r="C15" s="8" t="s">
        <v>201</v>
      </c>
      <c r="D15" s="8" t="s">
        <v>202</v>
      </c>
      <c r="E15" s="9">
        <v>3.0</v>
      </c>
      <c r="F15" s="10">
        <f>E15*'サマリー'!$D$3</f>
        <v>1.8</v>
      </c>
      <c r="G15" s="30" t="s">
        <v>203</v>
      </c>
      <c r="H15" s="31" t="s">
        <v>204</v>
      </c>
      <c r="I15" s="11" t="s">
        <v>205</v>
      </c>
    </row>
    <row r="16" ht="69.75" customHeight="1">
      <c r="A16" s="7" t="s">
        <v>34</v>
      </c>
      <c r="B16" s="7" t="s">
        <v>206</v>
      </c>
      <c r="C16" s="8" t="s">
        <v>207</v>
      </c>
      <c r="D16" s="8" t="s">
        <v>208</v>
      </c>
      <c r="E16" s="9">
        <v>3.0</v>
      </c>
      <c r="F16" s="10">
        <f>E16*'サマリー'!$D$3</f>
        <v>1.8</v>
      </c>
      <c r="G16" s="30" t="s">
        <v>209</v>
      </c>
      <c r="H16" s="31"/>
      <c r="I16" s="11" t="s">
        <v>210</v>
      </c>
    </row>
    <row r="17" ht="39.75" customHeight="1">
      <c r="A17" s="7" t="s">
        <v>34</v>
      </c>
      <c r="B17" s="7" t="s">
        <v>211</v>
      </c>
      <c r="C17" s="8" t="s">
        <v>212</v>
      </c>
      <c r="D17" s="8" t="s">
        <v>213</v>
      </c>
      <c r="E17" s="9">
        <v>3.0</v>
      </c>
      <c r="F17" s="10">
        <f>E17*'サマリー'!$D$3</f>
        <v>1.8</v>
      </c>
      <c r="G17" s="30"/>
      <c r="H17" s="31"/>
      <c r="I17" s="11"/>
    </row>
    <row r="18">
      <c r="A18" s="23" t="s">
        <v>34</v>
      </c>
      <c r="B18" s="24"/>
      <c r="C18" s="25" t="s">
        <v>214</v>
      </c>
      <c r="D18" s="24"/>
      <c r="E18" s="24"/>
      <c r="F18" s="24"/>
      <c r="G18" s="24"/>
      <c r="H18" s="24"/>
      <c r="I18" s="24"/>
    </row>
    <row r="19">
      <c r="A19" s="26" t="s">
        <v>34</v>
      </c>
      <c r="B19" s="26" t="s">
        <v>44</v>
      </c>
      <c r="C19" s="27" t="s">
        <v>45</v>
      </c>
      <c r="D19" s="27"/>
      <c r="E19" s="26">
        <v>6.5</v>
      </c>
      <c r="F19" s="28">
        <f>E19*'サマリー'!$D$3</f>
        <v>3.9</v>
      </c>
      <c r="G19" s="27"/>
      <c r="H19" s="27"/>
      <c r="I19" s="27"/>
    </row>
    <row r="20" ht="34.5" customHeight="1">
      <c r="A20" s="7" t="s">
        <v>34</v>
      </c>
      <c r="B20" s="7" t="s">
        <v>215</v>
      </c>
      <c r="C20" s="8" t="s">
        <v>216</v>
      </c>
      <c r="D20" s="8" t="s">
        <v>217</v>
      </c>
      <c r="E20" s="9">
        <v>1.0</v>
      </c>
      <c r="F20" s="10">
        <f>E20*'サマリー'!$D$3</f>
        <v>0.6</v>
      </c>
      <c r="G20" s="30"/>
      <c r="H20" s="31"/>
      <c r="I20" s="11"/>
    </row>
    <row r="21" ht="34.5" customHeight="1">
      <c r="A21" s="7" t="s">
        <v>34</v>
      </c>
      <c r="B21" s="7" t="s">
        <v>218</v>
      </c>
      <c r="C21" s="8" t="s">
        <v>219</v>
      </c>
      <c r="D21" s="8" t="s">
        <v>220</v>
      </c>
      <c r="E21" s="9">
        <v>1.5</v>
      </c>
      <c r="F21" s="10">
        <f>E21*'サマリー'!$D$3</f>
        <v>0.9</v>
      </c>
      <c r="G21" s="30"/>
      <c r="H21" s="31"/>
      <c r="I21" s="11"/>
    </row>
    <row r="22" ht="39.75" customHeight="1">
      <c r="A22" s="7" t="s">
        <v>34</v>
      </c>
      <c r="B22" s="7" t="s">
        <v>221</v>
      </c>
      <c r="C22" s="8" t="s">
        <v>222</v>
      </c>
      <c r="D22" s="8" t="s">
        <v>223</v>
      </c>
      <c r="E22" s="9">
        <v>2.0</v>
      </c>
      <c r="F22" s="10">
        <f>E22*'サマリー'!$D$3</f>
        <v>1.2</v>
      </c>
      <c r="G22" s="30"/>
      <c r="H22" s="31"/>
      <c r="I22" s="11" t="s">
        <v>224</v>
      </c>
    </row>
    <row r="23" ht="60.0" customHeight="1">
      <c r="A23" s="7" t="s">
        <v>34</v>
      </c>
      <c r="B23" s="7" t="s">
        <v>225</v>
      </c>
      <c r="C23" s="8" t="s">
        <v>226</v>
      </c>
      <c r="D23" s="8" t="s">
        <v>227</v>
      </c>
      <c r="E23" s="9">
        <v>2.0</v>
      </c>
      <c r="F23" s="10">
        <f>E23*'サマリー'!$D$3</f>
        <v>1.2</v>
      </c>
      <c r="G23" s="30"/>
      <c r="H23" s="31"/>
      <c r="I23" s="11"/>
    </row>
    <row r="24" ht="15.75" customHeight="1">
      <c r="A24" s="23" t="s">
        <v>34</v>
      </c>
      <c r="B24" s="24"/>
      <c r="C24" s="25" t="s">
        <v>228</v>
      </c>
      <c r="D24" s="24"/>
      <c r="E24" s="24"/>
      <c r="F24" s="24"/>
      <c r="G24" s="24"/>
      <c r="H24" s="24"/>
      <c r="I24" s="24"/>
    </row>
    <row r="25" ht="15.75" customHeight="1">
      <c r="A25" s="26" t="s">
        <v>34</v>
      </c>
      <c r="B25" s="26" t="s">
        <v>47</v>
      </c>
      <c r="C25" s="27" t="s">
        <v>48</v>
      </c>
      <c r="D25" s="27"/>
      <c r="E25" s="26">
        <v>8.0</v>
      </c>
      <c r="F25" s="28">
        <f>E25*'サマリー'!$D$3</f>
        <v>4.8</v>
      </c>
      <c r="G25" s="27"/>
      <c r="H25" s="27"/>
      <c r="I25" s="27"/>
    </row>
    <row r="26" ht="49.5" customHeight="1">
      <c r="A26" s="7" t="s">
        <v>34</v>
      </c>
      <c r="B26" s="7" t="s">
        <v>229</v>
      </c>
      <c r="C26" s="8" t="s">
        <v>230</v>
      </c>
      <c r="D26" s="8" t="s">
        <v>231</v>
      </c>
      <c r="E26" s="9">
        <v>3.0</v>
      </c>
      <c r="F26" s="10">
        <f>E26*'サマリー'!$D$3</f>
        <v>1.8</v>
      </c>
      <c r="G26" s="30"/>
      <c r="H26" s="31"/>
      <c r="I26" s="11"/>
    </row>
    <row r="27" ht="45.0" customHeight="1">
      <c r="A27" s="7" t="s">
        <v>34</v>
      </c>
      <c r="B27" s="7" t="s">
        <v>232</v>
      </c>
      <c r="C27" s="8" t="s">
        <v>233</v>
      </c>
      <c r="D27" s="8" t="s">
        <v>234</v>
      </c>
      <c r="E27" s="9">
        <v>2.5</v>
      </c>
      <c r="F27" s="10">
        <f>E27*'サマリー'!$D$3</f>
        <v>1.5</v>
      </c>
      <c r="G27" s="30"/>
      <c r="H27" s="31"/>
      <c r="I27" s="11" t="s">
        <v>235</v>
      </c>
    </row>
    <row r="28" ht="39.75" customHeight="1">
      <c r="A28" s="7" t="s">
        <v>34</v>
      </c>
      <c r="B28" s="7" t="s">
        <v>236</v>
      </c>
      <c r="C28" s="8" t="s">
        <v>237</v>
      </c>
      <c r="D28" s="8" t="s">
        <v>238</v>
      </c>
      <c r="E28" s="9">
        <v>1.5</v>
      </c>
      <c r="F28" s="10">
        <f>E28*'サマリー'!$D$3</f>
        <v>0.9</v>
      </c>
      <c r="G28" s="30"/>
      <c r="H28" s="31"/>
      <c r="I28" s="11"/>
    </row>
    <row r="29" ht="30.0" customHeight="1">
      <c r="A29" s="7" t="s">
        <v>34</v>
      </c>
      <c r="B29" s="7" t="s">
        <v>239</v>
      </c>
      <c r="C29" s="8" t="s">
        <v>240</v>
      </c>
      <c r="D29" s="8" t="s">
        <v>241</v>
      </c>
      <c r="E29" s="9">
        <v>1.0</v>
      </c>
      <c r="F29" s="10">
        <f>E29*'サマリー'!$D$3</f>
        <v>0.6</v>
      </c>
      <c r="G29" s="30"/>
      <c r="H29" s="31"/>
      <c r="I29" s="11"/>
    </row>
    <row r="30" ht="15.75" customHeight="1">
      <c r="A30" s="23" t="s">
        <v>34</v>
      </c>
      <c r="B30" s="24"/>
      <c r="C30" s="25" t="s">
        <v>151</v>
      </c>
      <c r="D30" s="24"/>
      <c r="E30" s="24"/>
      <c r="F30" s="24"/>
      <c r="G30" s="24"/>
      <c r="H30" s="24"/>
      <c r="I30" s="24"/>
    </row>
    <row r="31" ht="15.75" customHeight="1">
      <c r="A31" s="26" t="s">
        <v>34</v>
      </c>
      <c r="B31" s="26" t="s">
        <v>27</v>
      </c>
      <c r="C31" s="27" t="s">
        <v>151</v>
      </c>
      <c r="D31" s="27"/>
      <c r="E31" s="26">
        <v>8.0</v>
      </c>
      <c r="F31" s="28">
        <f>E31*'サマリー'!$D$3</f>
        <v>4.8</v>
      </c>
      <c r="G31" s="27"/>
      <c r="H31" s="27"/>
      <c r="I31" s="27"/>
    </row>
    <row r="32" ht="64.5" customHeight="1">
      <c r="A32" s="7" t="s">
        <v>34</v>
      </c>
      <c r="B32" s="7" t="s">
        <v>152</v>
      </c>
      <c r="C32" s="8" t="s">
        <v>153</v>
      </c>
      <c r="D32" s="8" t="s">
        <v>242</v>
      </c>
      <c r="E32" s="9">
        <v>5.0</v>
      </c>
      <c r="F32" s="10">
        <f>E32*'サマリー'!$D$3</f>
        <v>3</v>
      </c>
      <c r="G32" s="30"/>
      <c r="H32" s="31"/>
      <c r="I32" s="11" t="s">
        <v>155</v>
      </c>
    </row>
    <row r="33" ht="49.5" customHeight="1">
      <c r="A33" s="7" t="s">
        <v>34</v>
      </c>
      <c r="B33" s="7" t="s">
        <v>156</v>
      </c>
      <c r="C33" s="8" t="s">
        <v>157</v>
      </c>
      <c r="D33" s="8" t="s">
        <v>243</v>
      </c>
      <c r="E33" s="9">
        <v>3.0</v>
      </c>
      <c r="F33" s="29">
        <v>3.0</v>
      </c>
      <c r="G33" s="30"/>
      <c r="H33" s="31"/>
      <c r="I33" s="11"/>
    </row>
    <row r="34" ht="15.75" customHeight="1">
      <c r="A34" s="23" t="s">
        <v>34</v>
      </c>
      <c r="B34" s="24"/>
      <c r="C34" s="25" t="s">
        <v>159</v>
      </c>
      <c r="D34" s="24"/>
      <c r="E34" s="24"/>
      <c r="F34" s="24"/>
      <c r="G34" s="24"/>
      <c r="H34" s="24"/>
      <c r="I34" s="24"/>
    </row>
    <row r="35" ht="15.75" customHeight="1">
      <c r="A35" s="26" t="s">
        <v>34</v>
      </c>
      <c r="B35" s="26" t="s">
        <v>30</v>
      </c>
      <c r="C35" s="27" t="s">
        <v>50</v>
      </c>
      <c r="D35" s="27"/>
      <c r="E35" s="26">
        <v>1.0</v>
      </c>
      <c r="F35" s="28">
        <f>E35*'サマリー'!$D$3</f>
        <v>0.6</v>
      </c>
      <c r="G35" s="27"/>
      <c r="H35" s="27"/>
      <c r="I35" s="27"/>
    </row>
    <row r="36" ht="34.5" customHeight="1">
      <c r="A36" s="7" t="s">
        <v>34</v>
      </c>
      <c r="B36" s="7" t="s">
        <v>160</v>
      </c>
      <c r="C36" s="8" t="s">
        <v>244</v>
      </c>
      <c r="D36" s="8" t="s">
        <v>245</v>
      </c>
      <c r="E36" s="9">
        <v>1.0</v>
      </c>
      <c r="F36" s="10">
        <f>E36*'サマリー'!$D$3</f>
        <v>0.6</v>
      </c>
      <c r="G36" s="30"/>
      <c r="H36" s="31"/>
      <c r="I36" s="11"/>
    </row>
    <row r="37" ht="15.75" customHeight="1"/>
    <row r="38" ht="15.75" customHeight="1">
      <c r="A38" s="12"/>
      <c r="B38" s="12"/>
      <c r="C38" s="13" t="s">
        <v>52</v>
      </c>
      <c r="D38" s="12"/>
      <c r="E38" s="14">
        <v>57.5</v>
      </c>
      <c r="F38" s="15">
        <f>E38*'サマリー'!$D$3</f>
        <v>34.5</v>
      </c>
      <c r="G38" s="12"/>
      <c r="H38" s="12"/>
      <c r="I38" s="12"/>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5.0"/>
    <col customWidth="1" min="3" max="3" width="50.0"/>
    <col customWidth="1" min="4" max="26" width="8.71"/>
  </cols>
  <sheetData>
    <row r="1">
      <c r="A1" s="6" t="s">
        <v>246</v>
      </c>
      <c r="B1" s="6" t="s">
        <v>247</v>
      </c>
      <c r="C1" s="6" t="s">
        <v>248</v>
      </c>
    </row>
    <row r="2">
      <c r="A2" s="32" t="s">
        <v>249</v>
      </c>
      <c r="B2" s="33" t="s">
        <v>250</v>
      </c>
      <c r="C2" s="8" t="s">
        <v>251</v>
      </c>
    </row>
    <row r="3">
      <c r="A3" s="32" t="s">
        <v>252</v>
      </c>
      <c r="B3" s="33" t="s">
        <v>253</v>
      </c>
      <c r="C3" s="8" t="s">
        <v>254</v>
      </c>
    </row>
    <row r="4">
      <c r="A4" s="32" t="s">
        <v>13</v>
      </c>
      <c r="B4" s="33" t="s">
        <v>255</v>
      </c>
      <c r="C4" s="8" t="s">
        <v>256</v>
      </c>
    </row>
    <row r="5">
      <c r="A5" s="32" t="s">
        <v>257</v>
      </c>
      <c r="B5" s="33" t="s">
        <v>258</v>
      </c>
      <c r="C5" s="8" t="s">
        <v>259</v>
      </c>
    </row>
    <row r="6">
      <c r="A6" s="32" t="s">
        <v>260</v>
      </c>
      <c r="B6" s="33" t="s">
        <v>261</v>
      </c>
      <c r="C6" s="8" t="s">
        <v>262</v>
      </c>
    </row>
    <row r="7">
      <c r="A7" s="32" t="s">
        <v>263</v>
      </c>
      <c r="B7" s="33" t="s">
        <v>264</v>
      </c>
      <c r="C7" s="8" t="s">
        <v>265</v>
      </c>
    </row>
    <row r="8">
      <c r="A8" s="32" t="s">
        <v>266</v>
      </c>
      <c r="B8" s="33" t="s">
        <v>267</v>
      </c>
      <c r="C8" s="8" t="s">
        <v>268</v>
      </c>
    </row>
    <row r="9">
      <c r="A9" s="32" t="s">
        <v>269</v>
      </c>
      <c r="B9" s="33" t="s">
        <v>270</v>
      </c>
      <c r="C9" s="8" t="s">
        <v>271</v>
      </c>
    </row>
    <row r="10">
      <c r="A10" s="32" t="s">
        <v>272</v>
      </c>
      <c r="B10" s="33" t="s">
        <v>273</v>
      </c>
      <c r="C10" s="8" t="s">
        <v>274</v>
      </c>
    </row>
    <row r="11">
      <c r="A11" s="32" t="s">
        <v>275</v>
      </c>
      <c r="B11" s="33" t="s">
        <v>276</v>
      </c>
      <c r="C11" s="8" t="s">
        <v>277</v>
      </c>
    </row>
    <row r="12">
      <c r="A12" s="32" t="s">
        <v>278</v>
      </c>
      <c r="B12" s="33" t="s">
        <v>279</v>
      </c>
      <c r="C12" s="8" t="s">
        <v>280</v>
      </c>
    </row>
    <row r="13">
      <c r="A13" s="32" t="s">
        <v>281</v>
      </c>
      <c r="B13" s="33" t="s">
        <v>282</v>
      </c>
      <c r="C13" s="8" t="s">
        <v>283</v>
      </c>
    </row>
    <row r="14">
      <c r="A14" s="32" t="s">
        <v>284</v>
      </c>
      <c r="B14" s="33" t="s">
        <v>285</v>
      </c>
      <c r="C14" s="8" t="s">
        <v>286</v>
      </c>
    </row>
    <row r="15">
      <c r="A15" s="32" t="s">
        <v>287</v>
      </c>
      <c r="B15" s="33" t="s">
        <v>288</v>
      </c>
      <c r="C15" s="8" t="s">
        <v>289</v>
      </c>
    </row>
    <row r="16">
      <c r="A16" s="32" t="s">
        <v>290</v>
      </c>
      <c r="B16" s="33" t="s">
        <v>291</v>
      </c>
      <c r="C16" s="8" t="s">
        <v>292</v>
      </c>
    </row>
    <row r="17">
      <c r="A17" s="32" t="s">
        <v>293</v>
      </c>
      <c r="B17" s="33" t="s">
        <v>294</v>
      </c>
      <c r="C17" s="8" t="s">
        <v>295</v>
      </c>
    </row>
    <row r="18">
      <c r="A18" s="32" t="s">
        <v>296</v>
      </c>
      <c r="B18" s="33" t="s">
        <v>297</v>
      </c>
      <c r="C18" s="8" t="s">
        <v>298</v>
      </c>
    </row>
    <row r="19">
      <c r="A19" s="32" t="s">
        <v>299</v>
      </c>
      <c r="B19" s="33" t="s">
        <v>300</v>
      </c>
      <c r="C19" s="8" t="s">
        <v>301</v>
      </c>
    </row>
    <row r="20">
      <c r="A20" s="32" t="s">
        <v>69</v>
      </c>
      <c r="B20" s="33" t="s">
        <v>302</v>
      </c>
      <c r="C20" s="8" t="s">
        <v>303</v>
      </c>
    </row>
    <row r="21" ht="15.75" customHeight="1">
      <c r="A21" s="32" t="s">
        <v>304</v>
      </c>
      <c r="B21" s="33" t="s">
        <v>305</v>
      </c>
      <c r="C21" s="8" t="s">
        <v>306</v>
      </c>
    </row>
    <row r="22" ht="15.75" customHeight="1">
      <c r="A22" s="32" t="s">
        <v>307</v>
      </c>
      <c r="B22" s="33" t="s">
        <v>308</v>
      </c>
      <c r="C22" s="8" t="s">
        <v>309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2.0"/>
    <col customWidth="1" min="3" max="3" width="45.0"/>
    <col customWidth="1" min="4" max="4" width="50.0"/>
    <col customWidth="1" min="5" max="5" width="14.0"/>
    <col customWidth="1" min="6" max="6" width="30.0"/>
    <col customWidth="1" min="7" max="26" width="8.71"/>
  </cols>
  <sheetData>
    <row r="1" ht="24.75" customHeight="1">
      <c r="A1" s="6" t="s">
        <v>310</v>
      </c>
      <c r="B1" s="6" t="s">
        <v>311</v>
      </c>
      <c r="C1" s="6" t="s">
        <v>312</v>
      </c>
      <c r="D1" s="6" t="s">
        <v>313</v>
      </c>
      <c r="E1" s="6" t="s">
        <v>314</v>
      </c>
      <c r="F1" s="6" t="s">
        <v>315</v>
      </c>
    </row>
    <row r="2" ht="49.5" customHeight="1">
      <c r="A2" s="7">
        <v>1.0</v>
      </c>
      <c r="B2" s="7" t="s">
        <v>103</v>
      </c>
      <c r="C2" s="34" t="s">
        <v>316</v>
      </c>
      <c r="D2" s="11" t="s">
        <v>317</v>
      </c>
      <c r="E2" s="35" t="s">
        <v>318</v>
      </c>
      <c r="F2" s="36"/>
    </row>
    <row r="3" ht="49.5" customHeight="1">
      <c r="A3" s="7">
        <v>2.0</v>
      </c>
      <c r="B3" s="7" t="s">
        <v>108</v>
      </c>
      <c r="C3" s="34" t="s">
        <v>319</v>
      </c>
      <c r="D3" s="11" t="s">
        <v>320</v>
      </c>
      <c r="E3" s="35" t="s">
        <v>318</v>
      </c>
      <c r="F3" s="36"/>
    </row>
    <row r="4" ht="49.5" customHeight="1">
      <c r="A4" s="7">
        <v>3.0</v>
      </c>
      <c r="B4" s="7" t="s">
        <v>97</v>
      </c>
      <c r="C4" s="34" t="s">
        <v>321</v>
      </c>
      <c r="D4" s="11" t="s">
        <v>322</v>
      </c>
      <c r="E4" s="35" t="s">
        <v>318</v>
      </c>
      <c r="F4" s="36"/>
    </row>
    <row r="5" ht="49.5" customHeight="1">
      <c r="A5" s="7">
        <v>4.0</v>
      </c>
      <c r="B5" s="7" t="s">
        <v>130</v>
      </c>
      <c r="C5" s="34" t="s">
        <v>323</v>
      </c>
      <c r="D5" s="11" t="s">
        <v>324</v>
      </c>
      <c r="E5" s="35" t="s">
        <v>318</v>
      </c>
      <c r="F5" s="36"/>
    </row>
    <row r="6" ht="49.5" customHeight="1">
      <c r="A6" s="7">
        <v>5.0</v>
      </c>
      <c r="B6" s="7" t="s">
        <v>124</v>
      </c>
      <c r="C6" s="34" t="s">
        <v>325</v>
      </c>
      <c r="D6" s="11" t="s">
        <v>326</v>
      </c>
      <c r="E6" s="35" t="s">
        <v>318</v>
      </c>
      <c r="F6" s="36"/>
    </row>
    <row r="7" ht="49.5" customHeight="1">
      <c r="A7" s="7">
        <v>6.0</v>
      </c>
      <c r="B7" s="7" t="s">
        <v>21</v>
      </c>
      <c r="C7" s="34" t="s">
        <v>327</v>
      </c>
      <c r="D7" s="11" t="s">
        <v>328</v>
      </c>
      <c r="E7" s="35" t="s">
        <v>318</v>
      </c>
      <c r="F7" s="36"/>
    </row>
    <row r="8" ht="49.5" customHeight="1">
      <c r="A8" s="7">
        <v>7.0</v>
      </c>
      <c r="B8" s="7" t="s">
        <v>329</v>
      </c>
      <c r="C8" s="34" t="s">
        <v>330</v>
      </c>
      <c r="D8" s="11" t="s">
        <v>331</v>
      </c>
      <c r="E8" s="35" t="s">
        <v>318</v>
      </c>
      <c r="F8" s="36"/>
    </row>
    <row r="9" ht="49.5" customHeight="1">
      <c r="A9" s="7">
        <v>8.0</v>
      </c>
      <c r="B9" s="7" t="s">
        <v>81</v>
      </c>
      <c r="C9" s="34" t="s">
        <v>332</v>
      </c>
      <c r="D9" s="11" t="s">
        <v>333</v>
      </c>
      <c r="E9" s="35" t="s">
        <v>318</v>
      </c>
      <c r="F9" s="36"/>
    </row>
    <row r="10" ht="49.5" customHeight="1">
      <c r="A10" s="7">
        <v>9.0</v>
      </c>
      <c r="B10" s="7" t="s">
        <v>87</v>
      </c>
      <c r="C10" s="34" t="s">
        <v>334</v>
      </c>
      <c r="D10" s="11" t="s">
        <v>335</v>
      </c>
      <c r="E10" s="35" t="s">
        <v>318</v>
      </c>
      <c r="F10" s="36"/>
    </row>
    <row r="11" ht="49.5" customHeight="1">
      <c r="A11" s="7">
        <v>10.0</v>
      </c>
      <c r="B11" s="7" t="s">
        <v>103</v>
      </c>
      <c r="C11" s="34" t="s">
        <v>336</v>
      </c>
      <c r="D11" s="11" t="s">
        <v>337</v>
      </c>
      <c r="E11" s="35" t="s">
        <v>318</v>
      </c>
      <c r="F11" s="36"/>
    </row>
    <row r="12" ht="49.5" customHeight="1">
      <c r="A12" s="7">
        <v>11.0</v>
      </c>
      <c r="B12" s="7" t="s">
        <v>47</v>
      </c>
      <c r="C12" s="34" t="s">
        <v>338</v>
      </c>
      <c r="D12" s="11" t="s">
        <v>339</v>
      </c>
      <c r="E12" s="35" t="s">
        <v>318</v>
      </c>
      <c r="F12" s="36"/>
    </row>
    <row r="13" ht="49.5" customHeight="1">
      <c r="A13" s="7">
        <v>12.0</v>
      </c>
      <c r="B13" s="7" t="s">
        <v>81</v>
      </c>
      <c r="C13" s="34" t="s">
        <v>340</v>
      </c>
      <c r="D13" s="11" t="s">
        <v>341</v>
      </c>
      <c r="E13" s="35" t="s">
        <v>318</v>
      </c>
      <c r="F13" s="36"/>
    </row>
    <row r="14" ht="49.5" customHeight="1">
      <c r="A14" s="7">
        <v>13.0</v>
      </c>
      <c r="B14" s="7" t="s">
        <v>329</v>
      </c>
      <c r="C14" s="34" t="s">
        <v>342</v>
      </c>
      <c r="D14" s="11" t="s">
        <v>343</v>
      </c>
      <c r="E14" s="35" t="s">
        <v>318</v>
      </c>
      <c r="F14"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2026-04-08T10:55:29Z</dcterms:created>
  <dc:creator>openpyxl</dc:creator>
</cp:coreProperties>
</file>