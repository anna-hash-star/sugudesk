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前提" sheetId="1" r:id="rId5"/>
    <sheet state="visible" name="月次事業計画" sheetId="2" r:id="rId6"/>
    <sheet state="visible" name="年次事業計画" sheetId="3" r:id="rId7"/>
    <sheet state="visible" name="資本政策表" sheetId="4" r:id="rId8"/>
    <sheet state="visible" name="資金使途" sheetId="5" r:id="rId9"/>
  </sheets>
  <definedNames/>
  <calcPr/>
</workbook>
</file>

<file path=xl/sharedStrings.xml><?xml version="1.0" encoding="utf-8"?>
<sst xmlns="http://schemas.openxmlformats.org/spreadsheetml/2006/main" count="523" uniqueCount="382">
  <si>
    <t>SuguDesk 事業計画 前提条件</t>
  </si>
  <si>
    <t>【価格前提】</t>
  </si>
  <si>
    <t>導入費用（初期）</t>
  </si>
  <si>
    <t>1院あたり</t>
  </si>
  <si>
    <t>月額ENTRY</t>
  </si>
  <si>
    <t>チャットボット基本</t>
  </si>
  <si>
    <t>月額EXPAND</t>
  </si>
  <si>
    <t>FAQ+運用サポート</t>
  </si>
  <si>
    <t>月額DEEPEN</t>
  </si>
  <si>
    <t>BPO込み</t>
  </si>
  <si>
    <t>月次チャーン率</t>
  </si>
  <si>
    <t>EXPANDアップセル率（月次）</t>
  </si>
  <si>
    <t>平均6.7ヶ月でEXPANDアップセル</t>
  </si>
  <si>
    <t>DEEPENアップセル率（月次）</t>
  </si>
  <si>
    <t>EXPAND 20院で月1件アップセル</t>
  </si>
  <si>
    <t>【営業前提（月間新規契約数）】</t>
  </si>
  <si>
    <t>Phase1（M1-M6）</t>
  </si>
  <si>
    <t>Phase2（M7-M12）</t>
  </si>
  <si>
    <t>Phase3（M13-M18）</t>
  </si>
  <si>
    <t>Phase4（M19-M36）</t>
  </si>
  <si>
    <t>Phase5（M37-M60）</t>
  </si>
  <si>
    <t>【コスト前提（月額）】</t>
  </si>
  <si>
    <t>代表報酬</t>
  </si>
  <si>
    <t>エンジニア（正社員）</t>
  </si>
  <si>
    <t>CTO / フルスタック</t>
  </si>
  <si>
    <t>CS（業務委託）</t>
  </si>
  <si>
    <t>FAQ構築・クライアント対応</t>
  </si>
  <si>
    <t>営業人件費/人</t>
  </si>
  <si>
    <t>外注で検討</t>
  </si>
  <si>
    <t>LLM API変動費/院</t>
  </si>
  <si>
    <t>Claude API等</t>
  </si>
  <si>
    <t>インフラ・ツール</t>
  </si>
  <si>
    <t>Dify API, AWS, SaaS</t>
  </si>
  <si>
    <t>その他固定費</t>
  </si>
  <si>
    <t>法務・会計・雑費</t>
  </si>
  <si>
    <t>事務長 単価/人（月額）</t>
  </si>
  <si>
    <t>提案・設計担当（業務委託）</t>
  </si>
  <si>
    <t>BPOオペ 単価/人（月額）</t>
  </si>
  <si>
    <t>標準化業務の実行担当</t>
  </si>
  <si>
    <t>【人員計画（人数）】</t>
  </si>
  <si>
    <t>エンジニア正社員</t>
  </si>
  <si>
    <t>CS</t>
  </si>
  <si>
    <t>営業</t>
  </si>
  <si>
    <t>※営業はPhase1内M7から1名開始</t>
  </si>
  <si>
    <t>【営業ファネル前提】</t>
  </si>
  <si>
    <t>商談→契約率（受注率）</t>
  </si>
  <si>
    <t>アプローチ→商談化率（アウトバウンド）</t>
  </si>
  <si>
    <t>アプローチ→商談化率（紹介）</t>
  </si>
  <si>
    <t>チャネル比率</t>
  </si>
  <si>
    <t>Phase1</t>
  </si>
  <si>
    <t>Phase2</t>
  </si>
  <si>
    <t>Phase3以降</t>
  </si>
  <si>
    <t>紹介比率</t>
  </si>
  <si>
    <t>アウトバウンド比率</t>
  </si>
  <si>
    <t>加重平均商談化率</t>
  </si>
  <si>
    <t>外注営業 月間アプローチ数/人</t>
  </si>
  <si>
    <t>外注営業 単価/人月</t>
  </si>
  <si>
    <t>【CSキャパシティ前提】</t>
  </si>
  <si>
    <t>オンボーディング工数/院（時間）</t>
  </si>
  <si>
    <t>月次運用工数/院（時間）</t>
  </si>
  <si>
    <t>CS 1名 月間稼働時間</t>
  </si>
  <si>
    <t>AI自動化による工数削減率</t>
  </si>
  <si>
    <t>AI自動化率</t>
  </si>
  <si>
    <t>【資本政策前提】</t>
  </si>
  <si>
    <t>設立時株数</t>
  </si>
  <si>
    <t>設立時資本金</t>
  </si>
  <si>
    <t>J-KISSキャップ</t>
  </si>
  <si>
    <t>¥1億</t>
  </si>
  <si>
    <t>佐藤さん出資額</t>
  </si>
  <si>
    <t>STORES CEO</t>
  </si>
  <si>
    <t>ようすけさん出資額</t>
  </si>
  <si>
    <t>元リクルート役員</t>
  </si>
  <si>
    <t>シードプレバリュー</t>
  </si>
  <si>
    <t>FIXED</t>
  </si>
  <si>
    <t>シード調達額</t>
  </si>
  <si>
    <t>シード取得比率</t>
  </si>
  <si>
    <t>原則15%以上</t>
  </si>
  <si>
    <t>公庫借入</t>
  </si>
  <si>
    <t>デット</t>
  </si>
  <si>
    <t>シリーズAプレバリュー</t>
  </si>
  <si>
    <t>想定</t>
  </si>
  <si>
    <t>シリーズA調達額</t>
  </si>
  <si>
    <t>SOPプール比率</t>
  </si>
  <si>
    <t>シリーズA時に設定</t>
  </si>
  <si>
    <t>シリーズA調達月</t>
  </si>
  <si>
    <t>M24（Y2末）想定</t>
  </si>
  <si>
    <t>【デッド返済前提】</t>
  </si>
  <si>
    <t>公庫据置期間（月）</t>
  </si>
  <si>
    <t>元本返済なし、利息のみ</t>
  </si>
  <si>
    <t>公庫返済期間（月）</t>
  </si>
  <si>
    <t>5年（元利均等）</t>
  </si>
  <si>
    <t>公庫金利（年率）</t>
  </si>
  <si>
    <t>日本政策金融公庫 標準</t>
  </si>
  <si>
    <t>【事務長3段階モデル】</t>
  </si>
  <si>
    <t>M1-12: Anna兼務（コスト0）</t>
  </si>
  <si>
    <t>M13-24: 兼務@15万 段階採用</t>
  </si>
  <si>
    <t>M25-36: 分業化アップセル（固定段階増）</t>
  </si>
  <si>
    <t>M37~: AI数式ドリブン</t>
  </si>
  <si>
    <t>【事務長キャパシティ前提（M37~数式ドリブン：担当可能院数/人）】</t>
  </si>
  <si>
    <t>AI導入期(M37-48)</t>
  </si>
  <si>
    <t>AI成熟期(M49-60)</t>
  </si>
  <si>
    <t>ENTRY（自動提案+月1レビュー）</t>
  </si>
  <si>
    <t>AI提案書自動生成で大幅効率化</t>
  </si>
  <si>
    <t>EXPAND（AI分析+進捗管理）</t>
  </si>
  <si>
    <t>DEEPEN（設計+品質管理）</t>
  </si>
  <si>
    <t>※ M25-36は固定段階増、M37以降で数式ドリブン</t>
  </si>
  <si>
    <t>【BPOオペレーターキャパシティ前提（M37~実務：担当可能院数/人）】</t>
  </si>
  <si>
    <t>EXPAND（AI+標準化BPO）</t>
  </si>
  <si>
    <t>AI自動入力・自動レポートで効率化</t>
  </si>
  <si>
    <t>DEEPEN（バックオフィス実務）</t>
  </si>
  <si>
    <t>※ M25-36は固定段階増。標準化+AI自動化で段階的効率向上</t>
  </si>
  <si>
    <t>SuguDesk 月次事業計画</t>
  </si>
  <si>
    <t>フェーズ</t>
  </si>
  <si>
    <t>Phase3</t>
  </si>
  <si>
    <t>Phase4</t>
  </si>
  <si>
    <t>Phase5</t>
  </si>
  <si>
    <t>月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</si>
  <si>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</si>
  <si>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</si>
  <si>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</si>
  <si>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</si>
  <si>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</si>
  <si>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</si>
  <si>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</si>
  <si>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</si>
  <si>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</si>
  <si>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</si>
  <si>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</si>
  <si>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</si>
  <si>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</si>
  <si>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</si>
  <si>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</si>
  <si>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</si>
  <si>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</si>
  <si>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</si>
  <si>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</si>
  <si>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</si>
  <si>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</si>
  <si>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</si>
  <si>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</si>
  <si>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</si>
  <si>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</si>
  <si>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</si>
  <si>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</si>
  <si>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</si>
  <si>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</si>
  <si>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</si>
  <si>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</si>
  <si>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</si>
  <si>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</si>
  <si>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</si>
  <si>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</si>
  <si>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</si>
  <si>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</si>
  <si>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</si>
  <si>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</si>
  <si>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</si>
  <si>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</si>
  <si>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</si>
  <si>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</si>
  <si>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</si>
  <si>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</si>
  <si>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</si>
  <si>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</si>
  <si>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</si>
  <si>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</si>
  <si>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</si>
  <si>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</si>
  <si>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</si>
  <si>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</si>
  <si>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</si>
  <si>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</si>
  <si>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</si>
  <si>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</si>
  <si>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</si>
  <si>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</si>
  <si>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</si>
  <si>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【営業活動】</t>
  </si>
  <si>
    <t>月間必要契約数</t>
  </si>
  <si>
    <t>必要商談数</t>
  </si>
  <si>
    <t>必要アプローチ数</t>
  </si>
  <si>
    <t>必要外注営業人月</t>
  </si>
  <si>
    <t>営業外注コスト</t>
  </si>
  <si>
    <t>【顧客数】</t>
  </si>
  <si>
    <t>新規契約数</t>
  </si>
  <si>
    <t>解約数</t>
  </si>
  <si>
    <t>期首顧客数</t>
  </si>
  <si>
    <t>期末顧客数</t>
  </si>
  <si>
    <t>ENTRY</t>
  </si>
  <si>
    <t>EXPAND</t>
  </si>
  <si>
    <t>DEEPEN</t>
  </si>
  <si>
    <t>【売上】</t>
  </si>
  <si>
    <t>ENTRY月額売上</t>
  </si>
  <si>
    <t>EXPAND月額売上</t>
  </si>
  <si>
    <t>DEEPEN月額売上</t>
  </si>
  <si>
    <t>月額売上小計</t>
  </si>
  <si>
    <t>導入費用</t>
  </si>
  <si>
    <t>売上合計</t>
  </si>
  <si>
    <t>MRR</t>
  </si>
  <si>
    <t>【コスト】</t>
  </si>
  <si>
    <t>開発外注</t>
  </si>
  <si>
    <t>CS人件費</t>
  </si>
  <si>
    <t>営業人件費（社員）</t>
  </si>
  <si>
    <t>営業外注費</t>
  </si>
  <si>
    <t>LLM API変動費</t>
  </si>
  <si>
    <t>事務長（提案・設計）</t>
  </si>
  <si>
    <t>BPOオペレーター</t>
  </si>
  <si>
    <t>コスト合計</t>
  </si>
  <si>
    <t>【CS工数試算】</t>
  </si>
  <si>
    <t>オンボーディング工数</t>
  </si>
  <si>
    <t>月次運用工数</t>
  </si>
  <si>
    <t>合計必要工数</t>
  </si>
  <si>
    <t>自動化後工数</t>
  </si>
  <si>
    <t>必要CS人数（理論値）</t>
  </si>
  <si>
    <t>【損益】</t>
  </si>
  <si>
    <t>売上合計(再掲)</t>
  </si>
  <si>
    <t>コスト合計(再掲)</t>
  </si>
  <si>
    <t>営業利益</t>
  </si>
  <si>
    <t>営業利益率</t>
  </si>
  <si>
    <t>MRRベース利益</t>
  </si>
  <si>
    <t>累積損益</t>
  </si>
  <si>
    <t>【バーンレート・キャッシュ】</t>
  </si>
  <si>
    <t>月間ネットバーン</t>
  </si>
  <si>
    <t>月間売上</t>
  </si>
  <si>
    <t>月間コスト</t>
  </si>
  <si>
    <t>調達資金（初期）</t>
  </si>
  <si>
    <t>シリーズA入金</t>
  </si>
  <si>
    <t>公庫返済</t>
  </si>
  <si>
    <t>キャッシュ残高</t>
  </si>
  <si>
    <t>ランウェイ（月）</t>
  </si>
  <si>
    <t>【人員数】</t>
  </si>
  <si>
    <t>代表</t>
  </si>
  <si>
    <t>開発外注（人月換算）</t>
  </si>
  <si>
    <t>営業（社員）</t>
  </si>
  <si>
    <t>営業（外注換算）</t>
  </si>
  <si>
    <t>事務長/兼務</t>
  </si>
  <si>
    <t>BPOオペレーター（人数）</t>
  </si>
  <si>
    <t>合計人数</t>
  </si>
  <si>
    <t>SuguDesk 年次事業計画</t>
  </si>
  <si>
    <t>1年目</t>
  </si>
  <si>
    <t>2年目</t>
  </si>
  <si>
    <t>3年目</t>
  </si>
  <si>
    <t>4年目</t>
  </si>
  <si>
    <t>5年目</t>
  </si>
  <si>
    <t>MRR（期末）</t>
  </si>
  <si>
    <t>ARR（期末）</t>
  </si>
  <si>
    <t>年間売上合計</t>
  </si>
  <si>
    <t xml:space="preserve">　月額売上</t>
  </si>
  <si>
    <t xml:space="preserve">　導入費用</t>
  </si>
  <si>
    <t>年間コスト合計</t>
  </si>
  <si>
    <t>年間営業利益</t>
  </si>
  <si>
    <t>【バーンレート】</t>
  </si>
  <si>
    <t>公庫返済合計</t>
  </si>
  <si>
    <t>年間ネットバーン</t>
  </si>
  <si>
    <t>月平均ネットバーン</t>
  </si>
  <si>
    <t>期末キャッシュ残高</t>
  </si>
  <si>
    <t>期末ランウェイ（月）</t>
  </si>
  <si>
    <t>【期末人員数】</t>
  </si>
  <si>
    <t>期末合計人数</t>
  </si>
  <si>
    <t>SuguDesk 資本政策表</t>
  </si>
  <si>
    <t>設立</t>
  </si>
  <si>
    <t>J-KISS</t>
  </si>
  <si>
    <t>Seed（シード）</t>
  </si>
  <si>
    <t>Series A</t>
  </si>
  <si>
    <t>プレバリュー</t>
  </si>
  <si>
    <t>-</t>
  </si>
  <si>
    <t>調達額</t>
  </si>
  <si>
    <t>ポストバリュー</t>
  </si>
  <si>
    <t>公庫借入（デット）</t>
  </si>
  <si>
    <t>【株式数】</t>
  </si>
  <si>
    <t>J-KISS転換株価</t>
  </si>
  <si>
    <t>J-KISS転換株数</t>
  </si>
  <si>
    <t>J-KISS転換後 発行済株数</t>
  </si>
  <si>
    <t>Seed株価</t>
  </si>
  <si>
    <t>Seed新規発行株数</t>
  </si>
  <si>
    <t>Seed後 発行済株数</t>
  </si>
  <si>
    <t>Series A 株価</t>
  </si>
  <si>
    <t>Series A 新規発行株数</t>
  </si>
  <si>
    <t>SOPプール株数</t>
  </si>
  <si>
    <t>Series A後 発行済株数</t>
  </si>
  <si>
    <t>【持分比率】</t>
  </si>
  <si>
    <t>Anna（代表）</t>
  </si>
  <si>
    <t>100.0%</t>
  </si>
  <si>
    <t>J-KISS投資家</t>
  </si>
  <si>
    <t xml:space="preserve">　佐藤さん</t>
  </si>
  <si>
    <t xml:space="preserve">　ようすけさん</t>
  </si>
  <si>
    <t>シード</t>
  </si>
  <si>
    <t>SOPプール</t>
  </si>
  <si>
    <t>Series A 投資家</t>
  </si>
  <si>
    <t>合計チェック</t>
  </si>
  <si>
    <t>【感度分析】Series Aプレバリュー別 Founder持分</t>
  </si>
  <si>
    <t>保守的 ¥3億</t>
  </si>
  <si>
    <t>現実的 ¥5億</t>
  </si>
  <si>
    <t>中間 ¥7億</t>
  </si>
  <si>
    <t>現計画 ¥10億</t>
  </si>
  <si>
    <t>強気 ¥15億</t>
  </si>
  <si>
    <t>Series A プレバリュー</t>
  </si>
  <si>
    <t>調達額（固定）</t>
  </si>
  <si>
    <t>新規発行株数</t>
  </si>
  <si>
    <t>発行済株数合計</t>
  </si>
  <si>
    <t>Anna持分</t>
  </si>
  <si>
    <t>Founder 50%超?</t>
  </si>
  <si>
    <t>【ARR逆算】プレバリューに必要なARR</t>
  </si>
  <si>
    <t>10x</t>
  </si>
  <si>
    <t>15x</t>
  </si>
  <si>
    <t>20x</t>
  </si>
  <si>
    <t>30x</t>
  </si>
  <si>
    <t>40x</t>
  </si>
  <si>
    <t>ARRマルチプル</t>
  </si>
  <si>
    <t>プレ ¥3億 に必要なARR</t>
  </si>
  <si>
    <t>プレ ¥5億 に必要なARR</t>
  </si>
  <si>
    <t>プレ ¥7億 に必要なARR</t>
  </si>
  <si>
    <t>プレ ¥10億 に必要なARR</t>
  </si>
  <si>
    <t>【現計画のARR推移（参照）】</t>
  </si>
  <si>
    <t>現計画 ARR</t>
  </si>
  <si>
    <t>現計画 MRR</t>
  </si>
  <si>
    <t>プレ ¥3億 の場合の倍率</t>
  </si>
  <si>
    <t>プレ ¥5億 の場合の倍率</t>
  </si>
  <si>
    <t>プレ ¥10億 の場合の倍率</t>
  </si>
  <si>
    <t>読み方：</t>
  </si>
  <si>
    <t>倍率が15x以下なら投資家に説明しやすい。</t>
  </si>
  <si>
    <t>ARRを上げるほど同じプレバリューを低い倍率で正当化できる。</t>
  </si>
  <si>
    <t>→ Series A前にARRをどこまで積めるかが交渉力を決める。</t>
  </si>
  <si>
    <t>【EXITシナリオ分析】投資家リターン × プレバリュー感度</t>
  </si>
  <si>
    <t>現計画ベース（プレ=E4, 調達=E5）</t>
  </si>
  <si>
    <t>EXIT ¥10億</t>
  </si>
  <si>
    <t>EXIT ¥15億</t>
  </si>
  <si>
    <t>EXIT ¥20億</t>
  </si>
  <si>
    <t>EXIT ¥30億</t>
  </si>
  <si>
    <t>EXIT ¥50億</t>
  </si>
  <si>
    <t>EXIT時企業価値</t>
  </si>
  <si>
    <t>Anna リターン</t>
  </si>
  <si>
    <t>Series A 投資家リターン</t>
  </si>
  <si>
    <t>Series A 投資倍率</t>
  </si>
  <si>
    <t>1x LP（最低保証）</t>
  </si>
  <si>
    <t>SA実取り分（LP適用後）</t>
  </si>
  <si>
    <t>Anna 実取り分（LP適用後）</t>
  </si>
  <si>
    <t>【調達額の感度分析】プレ¥5億固定、調達額を変えた場合</t>
  </si>
  <si>
    <t>調達 ¥3000万</t>
  </si>
  <si>
    <t>調達 ¥5000万</t>
  </si>
  <si>
    <t>調達 ¥8000万</t>
  </si>
  <si>
    <t>調達 ¥1億</t>
  </si>
  <si>
    <t>調達 ¥1.5億</t>
  </si>
  <si>
    <t>プレバリュー（固定¥5億）</t>
  </si>
  <si>
    <t>Series A 投資家持分</t>
  </si>
  <si>
    <t>EXIT¥20億時 SA倍率</t>
  </si>
  <si>
    <t>EXIT¥30億時 SA倍率</t>
  </si>
  <si>
    <t>調達額を減らすほどAnna持分は守れるが、ランウェイが短くなる。</t>
  </si>
  <si>
    <t>SA投資家は¥5000万投資でEXIT¥20億なら十分なリターン（数十x）。</t>
  </si>
  <si>
    <t>→ 調達額を絞ってもEXITさえ出れば投資家は満足する構造。</t>
  </si>
  <si>
    <t>シードラウンド 資金使途</t>
  </si>
  <si>
    <t>調達額合計</t>
  </si>
  <si>
    <t>（J-KISS+エクイティ+デット）</t>
  </si>
  <si>
    <t>【やりたいこと → 資金使途】</t>
  </si>
  <si>
    <t>項目</t>
  </si>
  <si>
    <t>月額</t>
  </si>
  <si>
    <t>年額（想定）</t>
  </si>
  <si>
    <t>備考</t>
  </si>
  <si>
    <t>エンジニア正社員（AI駆動開発）</t>
  </si>
  <si>
    <t>Dify APIアップセル・基盤開発・BPO検証・チャットUI改善</t>
  </si>
  <si>
    <t>Anna代表報酬</t>
  </si>
  <si>
    <t>営業・経営・資金調達に集中</t>
  </si>
  <si>
    <t>営業（M7以降）</t>
  </si>
  <si>
    <t>M7から採用（年の半分）</t>
  </si>
  <si>
    <t>営業外注費（平均）</t>
  </si>
  <si>
    <t>ファネル逆算に基づく外注費</t>
  </si>
  <si>
    <t>Dify API, AWS, Claude, SaaS等</t>
  </si>
  <si>
    <t>デザイン（スポット）</t>
  </si>
  <si>
    <t>チャットUI/UXデザイン改善</t>
  </si>
  <si>
    <t>年間合計</t>
  </si>
  <si>
    <t>【ランウェイ試算】</t>
  </si>
  <si>
    <t>Phase1 前半バーンレート（月）</t>
  </si>
  <si>
    <t>M1-M6平均コスト</t>
  </si>
  <si>
    <t>Phase1 後半バーンレート（月）</t>
  </si>
  <si>
    <t>M7-M12平均コスト</t>
  </si>
  <si>
    <t>Phase1 月間コスト平均</t>
  </si>
  <si>
    <t>M1-M12平均コスト（売上無視）</t>
  </si>
  <si>
    <t>初期キャッシュ</t>
  </si>
  <si>
    <t>ランウェイ（コスト基準）</t>
  </si>
  <si>
    <t>月（売上ゼロでも持つ期間）</t>
  </si>
  <si>
    <t>M12末キャッシュ残高</t>
  </si>
  <si>
    <t>M24末キャッシュ残高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</si>
</sst>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;&quot;-&quot;"/>
    <numFmt numFmtId="165" formatCode="0.0%"/>
    <numFmt numFmtId="166" formatCode="0.0"/>
    <numFmt numFmtId="167" formatCode="#,##0.0"/>
    <numFmt numFmtId="168" formatCode="0.0&quot;x&quot;"/>
  </numFmts>
  <fonts count="1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1F4E79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rgb="FF0000FF"/>
      <name val="Calibri"/>
      <scheme val="minor"/>
    </font>
    <font>
      <i/>
      <color rgb="FF666666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color rgb="FF666666"/>
      <name val="Calibri"/>
      <scheme val="minor"/>
    </font>
    <font>
      <color rgb="FF008000"/>
      <name val="Calibri"/>
      <scheme val="minor"/>
    </font>
    <font>
      <b/>
      <color rgb="FF000000"/>
      <name val="Calibri"/>
      <scheme val="minor"/>
    </font>
    <font>
      <b/>
      <color rgb="FFFFFFFF"/>
      <name val="Calibri"/>
      <scheme val="minor"/>
    </font>
    <font>
      <b/>
      <sz val="11.0"/>
      <color rgb="FF1F4E79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0" fillId="0" fontId="4" numFmtId="0" xfId="0" applyFont="1"/>
    <xf borderId="1" fillId="3" fontId="5" numFmtId="164" xfId="0" applyBorder="1" applyFill="1" applyFont="1" applyNumberFormat="1"/>
    <xf borderId="0" fillId="0" fontId="6" numFmtId="0" xfId="0" applyFont="1"/>
    <xf borderId="1" fillId="3" fontId="5" numFmtId="165" xfId="0" applyBorder="1" applyFont="1" applyNumberForma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" fillId="3" fontId="5" numFmtId="1" xfId="0" applyAlignment="1" applyBorder="1" applyFont="1" applyNumberFormat="1">
      <alignment readingOrder="0"/>
    </xf>
    <xf borderId="1" fillId="3" fontId="5" numFmtId="1" xfId="0" applyBorder="1" applyFont="1" applyNumberFormat="1"/>
    <xf borderId="0" fillId="0" fontId="7" numFmtId="0" xfId="0" applyFont="1"/>
    <xf borderId="0" fillId="0" fontId="8" numFmtId="165" xfId="0" applyFont="1" applyNumberFormat="1"/>
    <xf borderId="1" fillId="3" fontId="5" numFmtId="164" xfId="0" applyAlignment="1" applyBorder="1" applyFont="1" applyNumberFormat="1">
      <alignment readingOrder="0"/>
    </xf>
    <xf borderId="1" fillId="2" fontId="6" numFmtId="0" xfId="0" applyBorder="1" applyFont="1"/>
    <xf borderId="1" fillId="2" fontId="6" numFmtId="0" xfId="0" applyAlignment="1" applyBorder="1" applyFont="1">
      <alignment readingOrder="0"/>
    </xf>
    <xf borderId="0" fillId="0" fontId="9" numFmtId="0" xfId="0" applyFont="1"/>
    <xf borderId="0" fillId="0" fontId="7" numFmtId="0" xfId="0" applyAlignment="1" applyFont="1">
      <alignment horizontal="center"/>
    </xf>
    <xf borderId="0" fillId="0" fontId="10" numFmtId="164" xfId="0" applyFont="1" applyNumberFormat="1"/>
    <xf borderId="0" fillId="0" fontId="8" numFmtId="164" xfId="0" applyFont="1" applyNumberFormat="1"/>
    <xf borderId="0" fillId="0" fontId="8" numFmtId="166" xfId="0" applyFont="1" applyNumberFormat="1"/>
    <xf borderId="0" fillId="0" fontId="5" numFmtId="164" xfId="0" applyFont="1" applyNumberFormat="1"/>
    <xf borderId="0" fillId="0" fontId="11" numFmtId="164" xfId="0" applyFont="1" applyNumberFormat="1"/>
    <xf borderId="0" fillId="0" fontId="10" numFmtId="165" xfId="0" applyFont="1" applyNumberFormat="1"/>
    <xf borderId="1" fillId="4" fontId="8" numFmtId="166" xfId="0" applyBorder="1" applyFill="1" applyFont="1" applyNumberFormat="1"/>
    <xf borderId="0" fillId="0" fontId="10" numFmtId="166" xfId="0" applyFont="1" applyNumberFormat="1"/>
    <xf borderId="0" fillId="0" fontId="5" numFmtId="166" xfId="0" applyFont="1" applyNumberFormat="1"/>
    <xf borderId="0" fillId="0" fontId="11" numFmtId="166" xfId="0" applyFont="1" applyNumberFormat="1"/>
    <xf borderId="1" fillId="5" fontId="12" numFmtId="0" xfId="0" applyAlignment="1" applyBorder="1" applyFill="1" applyFont="1">
      <alignment horizontal="center"/>
    </xf>
    <xf borderId="1" fillId="5" fontId="12" numFmtId="0" xfId="0" applyAlignment="1" applyBorder="1" applyFont="1">
      <alignment horizontal="center" readingOrder="0"/>
    </xf>
    <xf borderId="0" fillId="0" fontId="8" numFmtId="167" xfId="0" applyFont="1" applyNumberFormat="1"/>
    <xf borderId="0" fillId="0" fontId="3" numFmtId="165" xfId="0" applyFont="1" applyNumberFormat="1"/>
    <xf borderId="0" fillId="0" fontId="9" numFmtId="165" xfId="0" applyFont="1" applyNumberFormat="1"/>
    <xf borderId="0" fillId="0" fontId="11" numFmtId="165" xfId="0" applyFont="1" applyNumberFormat="1"/>
    <xf borderId="1" fillId="2" fontId="13" numFmtId="0" xfId="0" applyBorder="1" applyFont="1"/>
    <xf borderId="0" fillId="0" fontId="11" numFmtId="0" xfId="0" applyAlignment="1" applyFont="1">
      <alignment horizontal="center"/>
    </xf>
    <xf borderId="0" fillId="0" fontId="11" numFmtId="168" xfId="0" applyFont="1" applyNumberFormat="1"/>
    <xf borderId="0" fillId="0" fontId="9" numFmtId="164" xfId="0" applyFont="1" applyNumberFormat="1"/>
    <xf borderId="0" fillId="0" fontId="8" numFmtId="168" xfId="0" applyFont="1" applyNumberFormat="1"/>
    <xf borderId="0" fillId="0" fontId="3" numFmtId="164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5" width="18.0"/>
    <col customWidth="1" min="6" max="26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</row>
    <row r="4">
      <c r="A4" s="4" t="s">
        <v>2</v>
      </c>
      <c r="B4" s="5">
        <v>400000.0</v>
      </c>
      <c r="C4" s="6" t="s">
        <v>3</v>
      </c>
    </row>
    <row r="5">
      <c r="A5" s="4" t="s">
        <v>4</v>
      </c>
      <c r="B5" s="5">
        <v>25000.0</v>
      </c>
      <c r="C5" s="6" t="s">
        <v>5</v>
      </c>
    </row>
    <row r="6">
      <c r="A6" s="4" t="s">
        <v>6</v>
      </c>
      <c r="B6" s="5">
        <v>75000.0</v>
      </c>
      <c r="C6" s="6" t="s">
        <v>7</v>
      </c>
    </row>
    <row r="7">
      <c r="A7" s="4" t="s">
        <v>8</v>
      </c>
      <c r="B7" s="5">
        <v>250000.0</v>
      </c>
      <c r="C7" s="6" t="s">
        <v>9</v>
      </c>
    </row>
    <row r="8">
      <c r="A8" s="4" t="s">
        <v>10</v>
      </c>
      <c r="B8" s="7">
        <v>0.03</v>
      </c>
    </row>
    <row r="9">
      <c r="A9" s="8" t="s">
        <v>11</v>
      </c>
      <c r="B9" s="7">
        <v>0.15</v>
      </c>
      <c r="C9" s="9" t="s">
        <v>12</v>
      </c>
    </row>
    <row r="10">
      <c r="A10" s="8" t="s">
        <v>13</v>
      </c>
      <c r="B10" s="7">
        <v>0.05</v>
      </c>
      <c r="C10" s="9" t="s">
        <v>14</v>
      </c>
    </row>
    <row r="12">
      <c r="A12" s="2" t="s">
        <v>15</v>
      </c>
      <c r="B12" s="3"/>
      <c r="C12" s="3"/>
      <c r="D12" s="3"/>
      <c r="E12" s="3"/>
    </row>
    <row r="13">
      <c r="A13" s="4" t="s">
        <v>16</v>
      </c>
      <c r="B13" s="10">
        <v>2.0</v>
      </c>
    </row>
    <row r="14">
      <c r="A14" s="4" t="s">
        <v>17</v>
      </c>
      <c r="B14" s="10">
        <v>3.0</v>
      </c>
    </row>
    <row r="15">
      <c r="A15" s="4" t="s">
        <v>18</v>
      </c>
      <c r="B15" s="10">
        <v>8.0</v>
      </c>
    </row>
    <row r="16">
      <c r="A16" s="4" t="s">
        <v>19</v>
      </c>
      <c r="B16" s="10">
        <v>15.0</v>
      </c>
    </row>
    <row r="17">
      <c r="A17" s="4" t="s">
        <v>20</v>
      </c>
      <c r="B17" s="11">
        <v>25.0</v>
      </c>
    </row>
    <row r="19">
      <c r="A19" s="2" t="s">
        <v>21</v>
      </c>
      <c r="B19" s="3"/>
      <c r="C19" s="3"/>
      <c r="D19" s="3"/>
      <c r="E19" s="3"/>
    </row>
    <row r="20">
      <c r="A20" s="4" t="s">
        <v>22</v>
      </c>
      <c r="B20" s="5">
        <v>350000.0</v>
      </c>
    </row>
    <row r="21" ht="15.75" customHeight="1">
      <c r="A21" s="4" t="s">
        <v>23</v>
      </c>
      <c r="B21" s="5">
        <v>700000.0</v>
      </c>
      <c r="C21" s="6" t="s">
        <v>24</v>
      </c>
    </row>
    <row r="22" ht="15.75" customHeight="1">
      <c r="A22" s="4" t="s">
        <v>25</v>
      </c>
      <c r="B22" s="5">
        <v>200000.0</v>
      </c>
      <c r="C22" s="6" t="s">
        <v>26</v>
      </c>
    </row>
    <row r="23" ht="15.75" customHeight="1">
      <c r="A23" s="4" t="s">
        <v>27</v>
      </c>
      <c r="B23" s="5">
        <v>400000.0</v>
      </c>
      <c r="C23" s="6" t="s">
        <v>28</v>
      </c>
    </row>
    <row r="24" ht="15.75" customHeight="1">
      <c r="A24" s="4" t="s">
        <v>29</v>
      </c>
      <c r="B24" s="5">
        <v>2000.0</v>
      </c>
      <c r="C24" s="6" t="s">
        <v>30</v>
      </c>
    </row>
    <row r="25" ht="15.75" customHeight="1">
      <c r="A25" s="4" t="s">
        <v>31</v>
      </c>
      <c r="B25" s="5">
        <v>100000.0</v>
      </c>
      <c r="C25" s="6" t="s">
        <v>32</v>
      </c>
    </row>
    <row r="26" ht="15.75" customHeight="1">
      <c r="A26" s="4" t="s">
        <v>33</v>
      </c>
      <c r="B26" s="5">
        <v>50000.0</v>
      </c>
      <c r="C26" s="6" t="s">
        <v>34</v>
      </c>
    </row>
    <row r="27" ht="15.75" customHeight="1">
      <c r="A27" s="4" t="s">
        <v>35</v>
      </c>
      <c r="B27" s="5">
        <v>300000.0</v>
      </c>
      <c r="C27" s="6" t="s">
        <v>36</v>
      </c>
    </row>
    <row r="28" ht="15.75" customHeight="1">
      <c r="A28" s="4" t="s">
        <v>37</v>
      </c>
      <c r="B28" s="5">
        <v>150000.0</v>
      </c>
      <c r="C28" s="6" t="s">
        <v>38</v>
      </c>
    </row>
    <row r="29" ht="15.75" customHeight="1">
      <c r="A29" s="2" t="s">
        <v>39</v>
      </c>
      <c r="B29" s="3"/>
      <c r="C29" s="3"/>
      <c r="D29" s="3"/>
      <c r="E29" s="3"/>
    </row>
    <row r="30" ht="15.75" customHeight="1">
      <c r="B30" s="12" t="s">
        <v>40</v>
      </c>
      <c r="C30" s="12" t="s">
        <v>41</v>
      </c>
      <c r="D30" s="12" t="s">
        <v>42</v>
      </c>
    </row>
    <row r="31" ht="15.75" customHeight="1">
      <c r="A31" s="4" t="s">
        <v>16</v>
      </c>
      <c r="B31" s="11">
        <v>0.5</v>
      </c>
      <c r="C31" s="11">
        <v>0.0</v>
      </c>
      <c r="D31" s="11">
        <v>0.0</v>
      </c>
    </row>
    <row r="32" ht="15.75" customHeight="1">
      <c r="A32" s="4" t="s">
        <v>17</v>
      </c>
      <c r="B32" s="11">
        <v>1.0</v>
      </c>
      <c r="C32" s="11">
        <v>1.0</v>
      </c>
      <c r="D32" s="11">
        <v>1.0</v>
      </c>
    </row>
    <row r="33" ht="15.75" customHeight="1">
      <c r="A33" s="4" t="s">
        <v>18</v>
      </c>
      <c r="B33" s="11">
        <v>1.0</v>
      </c>
      <c r="C33" s="11">
        <v>1.0</v>
      </c>
      <c r="D33" s="11">
        <v>1.0</v>
      </c>
    </row>
    <row r="34" ht="15.75" customHeight="1">
      <c r="A34" s="4" t="s">
        <v>19</v>
      </c>
      <c r="B34" s="11">
        <v>1.0</v>
      </c>
      <c r="C34" s="11">
        <v>2.0</v>
      </c>
      <c r="D34" s="11">
        <v>2.0</v>
      </c>
    </row>
    <row r="35" ht="15.75" customHeight="1">
      <c r="A35" s="4" t="s">
        <v>20</v>
      </c>
      <c r="B35" s="11">
        <v>1.0</v>
      </c>
      <c r="C35" s="11">
        <v>4.0</v>
      </c>
      <c r="D35" s="11">
        <v>4.0</v>
      </c>
    </row>
    <row r="36" ht="15.75" customHeight="1">
      <c r="A36" s="6" t="s">
        <v>43</v>
      </c>
    </row>
    <row r="37" ht="15.75" customHeight="1"/>
    <row r="38" ht="15.75" customHeight="1">
      <c r="A38" s="2" t="s">
        <v>44</v>
      </c>
      <c r="B38" s="3"/>
      <c r="C38" s="3"/>
      <c r="D38" s="3"/>
      <c r="E38" s="3"/>
    </row>
    <row r="39" ht="15.75" customHeight="1">
      <c r="A39" s="4" t="s">
        <v>45</v>
      </c>
      <c r="B39" s="7">
        <v>0.25</v>
      </c>
    </row>
    <row r="40" ht="15.75" customHeight="1">
      <c r="A40" s="4" t="s">
        <v>46</v>
      </c>
      <c r="B40" s="7">
        <v>0.01</v>
      </c>
    </row>
    <row r="41" ht="15.75" customHeight="1">
      <c r="A41" s="4" t="s">
        <v>47</v>
      </c>
      <c r="B41" s="7">
        <v>0.3</v>
      </c>
    </row>
    <row r="42" ht="15.75" customHeight="1"/>
    <row r="43" ht="15.75" customHeight="1">
      <c r="A43" s="12" t="s">
        <v>48</v>
      </c>
      <c r="B43" s="12" t="s">
        <v>49</v>
      </c>
      <c r="C43" s="12" t="s">
        <v>50</v>
      </c>
      <c r="D43" s="12" t="s">
        <v>51</v>
      </c>
    </row>
    <row r="44" ht="15.75" customHeight="1">
      <c r="A44" s="4" t="s">
        <v>52</v>
      </c>
      <c r="B44" s="7">
        <v>0.5</v>
      </c>
      <c r="C44" s="7">
        <v>0.3</v>
      </c>
      <c r="D44" s="7">
        <v>0.2</v>
      </c>
    </row>
    <row r="45" ht="15.75" customHeight="1">
      <c r="A45" s="4" t="s">
        <v>53</v>
      </c>
      <c r="B45" s="7">
        <v>0.5</v>
      </c>
      <c r="C45" s="7">
        <v>0.7</v>
      </c>
      <c r="D45" s="7">
        <v>0.8</v>
      </c>
    </row>
    <row r="46" ht="15.75" customHeight="1">
      <c r="A46" s="4" t="s">
        <v>54</v>
      </c>
      <c r="B46" s="13">
        <f t="shared" ref="B46:D46" si="1">B44*$B$41+B45*$B$40</f>
        <v>0.155</v>
      </c>
      <c r="C46" s="13">
        <f t="shared" si="1"/>
        <v>0.097</v>
      </c>
      <c r="D46" s="13">
        <f t="shared" si="1"/>
        <v>0.068</v>
      </c>
    </row>
    <row r="47" ht="15.75" customHeight="1"/>
    <row r="48" ht="15.75" customHeight="1">
      <c r="A48" s="4" t="s">
        <v>55</v>
      </c>
      <c r="B48" s="11">
        <v>120.0</v>
      </c>
    </row>
    <row r="49" ht="15.75" customHeight="1">
      <c r="A49" s="4" t="s">
        <v>56</v>
      </c>
      <c r="B49" s="5">
        <v>400000.0</v>
      </c>
    </row>
    <row r="50" ht="15.75" customHeight="1"/>
    <row r="51" ht="15.75" customHeight="1">
      <c r="A51" s="2" t="s">
        <v>57</v>
      </c>
      <c r="B51" s="3"/>
      <c r="C51" s="3"/>
      <c r="D51" s="3"/>
      <c r="E51" s="3"/>
    </row>
    <row r="52" ht="15.75" customHeight="1">
      <c r="A52" s="4" t="s">
        <v>58</v>
      </c>
      <c r="B52" s="11">
        <v>30.0</v>
      </c>
    </row>
    <row r="53" ht="15.75" customHeight="1">
      <c r="A53" s="4" t="s">
        <v>59</v>
      </c>
      <c r="B53" s="11">
        <v>3.0</v>
      </c>
    </row>
    <row r="54" ht="15.75" customHeight="1">
      <c r="A54" s="4" t="s">
        <v>60</v>
      </c>
      <c r="B54" s="11">
        <v>160.0</v>
      </c>
    </row>
    <row r="55" ht="15.75" customHeight="1"/>
    <row r="56" ht="15.75" customHeight="1">
      <c r="A56" s="12" t="s">
        <v>61</v>
      </c>
      <c r="B56" s="12" t="s">
        <v>49</v>
      </c>
      <c r="C56" s="12" t="s">
        <v>50</v>
      </c>
      <c r="D56" s="12" t="s">
        <v>51</v>
      </c>
    </row>
    <row r="57" ht="15.75" customHeight="1">
      <c r="A57" s="4" t="s">
        <v>62</v>
      </c>
      <c r="B57" s="7">
        <v>0.0</v>
      </c>
      <c r="C57" s="7">
        <v>0.2</v>
      </c>
      <c r="D57" s="7">
        <v>0.4</v>
      </c>
    </row>
    <row r="58" ht="15.75" customHeight="1"/>
    <row r="59" ht="15.75" customHeight="1">
      <c r="A59" s="2" t="s">
        <v>63</v>
      </c>
      <c r="B59" s="3"/>
      <c r="C59" s="3"/>
      <c r="D59" s="3"/>
      <c r="E59" s="3"/>
    </row>
    <row r="60" ht="15.75" customHeight="1">
      <c r="A60" s="4" t="s">
        <v>64</v>
      </c>
      <c r="B60" s="5">
        <v>1000000.0</v>
      </c>
    </row>
    <row r="61" ht="15.75" customHeight="1">
      <c r="A61" s="4" t="s">
        <v>65</v>
      </c>
      <c r="B61" s="5">
        <v>1000000.0</v>
      </c>
    </row>
    <row r="62" ht="15.75" customHeight="1">
      <c r="A62" s="4" t="s">
        <v>66</v>
      </c>
      <c r="B62" s="5">
        <v>1.0E8</v>
      </c>
      <c r="C62" s="6" t="s">
        <v>67</v>
      </c>
    </row>
    <row r="63" ht="15.75" customHeight="1">
      <c r="A63" s="4" t="s">
        <v>68</v>
      </c>
      <c r="B63" s="14">
        <v>2000000.0</v>
      </c>
      <c r="C63" s="6" t="s">
        <v>69</v>
      </c>
    </row>
    <row r="64" ht="15.75" customHeight="1">
      <c r="A64" s="4" t="s">
        <v>70</v>
      </c>
      <c r="B64" s="14">
        <v>500000.0</v>
      </c>
      <c r="C64" s="6" t="s">
        <v>71</v>
      </c>
    </row>
    <row r="65" ht="15.75" customHeight="1">
      <c r="A65" s="8" t="s">
        <v>72</v>
      </c>
      <c r="B65" s="14">
        <v>1.7E8</v>
      </c>
      <c r="C65" s="6" t="s">
        <v>73</v>
      </c>
    </row>
    <row r="66" ht="15.75" customHeight="1">
      <c r="A66" s="8" t="s">
        <v>74</v>
      </c>
      <c r="B66" s="14">
        <v>3.0E7</v>
      </c>
    </row>
    <row r="67" ht="15.75" customHeight="1">
      <c r="A67" s="8" t="s">
        <v>75</v>
      </c>
      <c r="B67" s="7">
        <v>0.15</v>
      </c>
      <c r="C67" s="6" t="s">
        <v>76</v>
      </c>
    </row>
    <row r="68" ht="15.75" customHeight="1">
      <c r="A68" s="4" t="s">
        <v>77</v>
      </c>
      <c r="B68" s="5"/>
      <c r="C68" s="6" t="s">
        <v>78</v>
      </c>
    </row>
    <row r="69" ht="15.75" customHeight="1">
      <c r="A69" s="4" t="s">
        <v>79</v>
      </c>
      <c r="B69" s="5">
        <v>5.0E8</v>
      </c>
      <c r="C69" s="6" t="s">
        <v>80</v>
      </c>
    </row>
    <row r="70" ht="15.75" customHeight="1">
      <c r="A70" s="4" t="s">
        <v>81</v>
      </c>
      <c r="B70" s="5">
        <v>5.0E7</v>
      </c>
      <c r="C70" s="6" t="s">
        <v>80</v>
      </c>
    </row>
    <row r="71" ht="15.75" customHeight="1">
      <c r="A71" s="4" t="s">
        <v>82</v>
      </c>
      <c r="B71" s="7">
        <v>0.067</v>
      </c>
      <c r="C71" s="6" t="s">
        <v>83</v>
      </c>
    </row>
    <row r="72" ht="15.75" customHeight="1">
      <c r="A72" s="4" t="s">
        <v>84</v>
      </c>
      <c r="B72" s="11">
        <v>24.0</v>
      </c>
      <c r="C72" s="6" t="s">
        <v>85</v>
      </c>
    </row>
    <row r="73" ht="15.75" customHeight="1"/>
    <row r="74" ht="15.75" customHeight="1">
      <c r="A74" s="2" t="s">
        <v>86</v>
      </c>
      <c r="B74" s="3"/>
      <c r="C74" s="3"/>
      <c r="D74" s="3"/>
      <c r="E74" s="3"/>
    </row>
    <row r="75" ht="15.75" customHeight="1">
      <c r="A75" s="4" t="s">
        <v>87</v>
      </c>
      <c r="B75" s="11">
        <v>12.0</v>
      </c>
      <c r="C75" s="6" t="s">
        <v>88</v>
      </c>
    </row>
    <row r="76" ht="15.75" customHeight="1">
      <c r="A76" s="4" t="s">
        <v>89</v>
      </c>
      <c r="B76" s="11">
        <v>60.0</v>
      </c>
      <c r="C76" s="6" t="s">
        <v>90</v>
      </c>
    </row>
    <row r="77" ht="15.75" customHeight="1">
      <c r="A77" s="4" t="s">
        <v>91</v>
      </c>
      <c r="B77" s="7">
        <v>0.015</v>
      </c>
      <c r="C77" s="6" t="s">
        <v>92</v>
      </c>
    </row>
    <row r="78" ht="15.75" customHeight="1"/>
    <row r="79" ht="15.75" customHeight="1">
      <c r="A79" s="2" t="s">
        <v>93</v>
      </c>
      <c r="B79" s="3"/>
      <c r="C79" s="15" t="s">
        <v>94</v>
      </c>
      <c r="D79" s="15" t="s">
        <v>95</v>
      </c>
      <c r="E79" s="16" t="s">
        <v>96</v>
      </c>
      <c r="F79" s="6" t="s">
        <v>97</v>
      </c>
    </row>
    <row r="80" ht="15.75" customHeight="1">
      <c r="A80" s="2" t="s">
        <v>98</v>
      </c>
      <c r="B80" s="3"/>
      <c r="C80" s="3"/>
      <c r="D80" s="3"/>
      <c r="E80" s="3"/>
    </row>
    <row r="81" ht="15.75" customHeight="1">
      <c r="B81" s="12" t="s">
        <v>99</v>
      </c>
      <c r="C81" s="12" t="s">
        <v>100</v>
      </c>
    </row>
    <row r="82" ht="15.75" customHeight="1">
      <c r="A82" s="4" t="s">
        <v>101</v>
      </c>
      <c r="B82" s="11">
        <v>60.0</v>
      </c>
      <c r="C82" s="11">
        <v>100.0</v>
      </c>
      <c r="D82" s="6" t="s">
        <v>102</v>
      </c>
    </row>
    <row r="83" ht="15.75" customHeight="1">
      <c r="A83" s="4" t="s">
        <v>103</v>
      </c>
      <c r="B83" s="11">
        <v>30.0</v>
      </c>
      <c r="C83" s="11">
        <v>50.0</v>
      </c>
    </row>
    <row r="84" ht="15.75" customHeight="1">
      <c r="A84" s="4" t="s">
        <v>104</v>
      </c>
      <c r="B84" s="11">
        <v>15.0</v>
      </c>
      <c r="C84" s="11">
        <v>25.0</v>
      </c>
    </row>
    <row r="85" ht="15.75" customHeight="1">
      <c r="A85" s="6" t="s">
        <v>105</v>
      </c>
    </row>
    <row r="86" ht="15.75" customHeight="1"/>
    <row r="87" ht="15.75" customHeight="1">
      <c r="A87" s="2" t="s">
        <v>106</v>
      </c>
      <c r="B87" s="3"/>
      <c r="C87" s="3"/>
      <c r="D87" s="3"/>
      <c r="E87" s="3"/>
    </row>
    <row r="88" ht="15.75" customHeight="1">
      <c r="B88" s="12" t="s">
        <v>99</v>
      </c>
      <c r="C88" s="12" t="s">
        <v>100</v>
      </c>
    </row>
    <row r="89" ht="15.75" customHeight="1">
      <c r="A89" s="4" t="s">
        <v>107</v>
      </c>
      <c r="B89" s="11">
        <v>20.0</v>
      </c>
      <c r="C89" s="11">
        <v>35.0</v>
      </c>
      <c r="D89" s="6" t="s">
        <v>108</v>
      </c>
    </row>
    <row r="90" ht="15.75" customHeight="1">
      <c r="A90" s="4" t="s">
        <v>109</v>
      </c>
      <c r="B90" s="11">
        <v>10.0</v>
      </c>
      <c r="C90" s="11">
        <v>18.0</v>
      </c>
    </row>
    <row r="91" ht="15.75" customHeight="1">
      <c r="A91" s="6" t="s">
        <v>110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2.0"/>
    <col customWidth="1" min="2" max="61" width="13.0"/>
  </cols>
  <sheetData>
    <row r="1">
      <c r="A1" s="1" t="s">
        <v>111</v>
      </c>
    </row>
    <row r="2">
      <c r="A2" s="4" t="s">
        <v>112</v>
      </c>
      <c r="B2" s="17" t="s">
        <v>49</v>
      </c>
      <c r="C2" s="17" t="s">
        <v>49</v>
      </c>
      <c r="D2" s="17" t="s">
        <v>49</v>
      </c>
      <c r="E2" s="17" t="s">
        <v>49</v>
      </c>
      <c r="F2" s="17" t="s">
        <v>49</v>
      </c>
      <c r="G2" s="17" t="s">
        <v>49</v>
      </c>
      <c r="H2" s="17" t="s">
        <v>49</v>
      </c>
      <c r="I2" s="17" t="s">
        <v>49</v>
      </c>
      <c r="J2" s="17" t="s">
        <v>49</v>
      </c>
      <c r="K2" s="17" t="s">
        <v>49</v>
      </c>
      <c r="L2" s="17" t="s">
        <v>49</v>
      </c>
      <c r="M2" s="17" t="s">
        <v>49</v>
      </c>
      <c r="N2" s="17" t="s">
        <v>50</v>
      </c>
      <c r="O2" s="17" t="s">
        <v>50</v>
      </c>
      <c r="P2" s="17" t="s">
        <v>50</v>
      </c>
      <c r="Q2" s="17" t="s">
        <v>50</v>
      </c>
      <c r="R2" s="17" t="s">
        <v>50</v>
      </c>
      <c r="S2" s="17" t="s">
        <v>50</v>
      </c>
      <c r="T2" s="17" t="s">
        <v>50</v>
      </c>
      <c r="U2" s="17" t="s">
        <v>50</v>
      </c>
      <c r="V2" s="17" t="s">
        <v>50</v>
      </c>
      <c r="W2" s="17" t="s">
        <v>50</v>
      </c>
      <c r="X2" s="17" t="s">
        <v>50</v>
      </c>
      <c r="Y2" s="17" t="s">
        <v>50</v>
      </c>
      <c r="Z2" s="17" t="s">
        <v>113</v>
      </c>
      <c r="AA2" s="17" t="s">
        <v>113</v>
      </c>
      <c r="AB2" s="17" t="s">
        <v>113</v>
      </c>
      <c r="AC2" s="17" t="s">
        <v>113</v>
      </c>
      <c r="AD2" s="17" t="s">
        <v>113</v>
      </c>
      <c r="AE2" s="17" t="s">
        <v>113</v>
      </c>
      <c r="AF2" s="17" t="s">
        <v>113</v>
      </c>
      <c r="AG2" s="17" t="s">
        <v>113</v>
      </c>
      <c r="AH2" s="17" t="s">
        <v>113</v>
      </c>
      <c r="AI2" s="17" t="s">
        <v>113</v>
      </c>
      <c r="AJ2" s="17" t="s">
        <v>113</v>
      </c>
      <c r="AK2" s="17" t="s">
        <v>113</v>
      </c>
      <c r="AL2" s="17" t="s">
        <v>114</v>
      </c>
      <c r="AM2" s="17" t="s">
        <v>114</v>
      </c>
      <c r="AN2" s="17" t="s">
        <v>114</v>
      </c>
      <c r="AO2" s="17" t="s">
        <v>114</v>
      </c>
      <c r="AP2" s="17" t="s">
        <v>114</v>
      </c>
      <c r="AQ2" s="17" t="s">
        <v>114</v>
      </c>
      <c r="AR2" s="17" t="s">
        <v>114</v>
      </c>
      <c r="AS2" s="17" t="s">
        <v>114</v>
      </c>
      <c r="AT2" s="17" t="s">
        <v>114</v>
      </c>
      <c r="AU2" s="17" t="s">
        <v>114</v>
      </c>
      <c r="AV2" s="17" t="s">
        <v>114</v>
      </c>
      <c r="AW2" s="17" t="s">
        <v>114</v>
      </c>
      <c r="AX2" s="17" t="s">
        <v>115</v>
      </c>
      <c r="AY2" s="17" t="s">
        <v>115</v>
      </c>
      <c r="AZ2" s="17" t="s">
        <v>115</v>
      </c>
      <c r="BA2" s="17" t="s">
        <v>115</v>
      </c>
      <c r="BB2" s="17" t="s">
        <v>115</v>
      </c>
      <c r="BC2" s="17" t="s">
        <v>115</v>
      </c>
      <c r="BD2" s="17" t="s">
        <v>115</v>
      </c>
      <c r="BE2" s="17" t="s">
        <v>115</v>
      </c>
      <c r="BF2" s="17" t="s">
        <v>115</v>
      </c>
      <c r="BG2" s="17" t="s">
        <v>115</v>
      </c>
      <c r="BH2" s="17" t="s">
        <v>115</v>
      </c>
      <c r="BI2" s="17" t="s">
        <v>115</v>
      </c>
    </row>
    <row r="3">
      <c r="A3" s="12" t="s">
        <v>116</v>
      </c>
      <c r="B3" s="18" t="s">
        <v>117</v>
      </c>
      <c r="C3" s="18" t="s">
        <v>118</v>
      </c>
      <c r="D3" s="18" t="s">
        <v>119</v>
      </c>
      <c r="E3" s="18" t="s">
        <v>120</v>
      </c>
      <c r="F3" s="18" t="s">
        <v>121</v>
      </c>
      <c r="G3" s="18" t="s">
        <v>122</v>
      </c>
      <c r="H3" s="18" t="s">
        <v>123</v>
      </c>
      <c r="I3" s="18" t="s">
        <v>124</v>
      </c>
      <c r="J3" s="18" t="s">
        <v>125</v>
      </c>
      <c r="K3" s="18" t="s">
        <v>126</v>
      </c>
      <c r="L3" s="18" t="s">
        <v>127</v>
      </c>
      <c r="M3" s="18" t="s">
        <v>128</v>
      </c>
      <c r="N3" s="18" t="s">
        <v>129</v>
      </c>
      <c r="O3" s="18" t="s">
        <v>130</v>
      </c>
      <c r="P3" s="18" t="s">
        <v>131</v>
      </c>
      <c r="Q3" s="18" t="s">
        <v>132</v>
      </c>
      <c r="R3" s="18" t="s">
        <v>133</v>
      </c>
      <c r="S3" s="18" t="s">
        <v>134</v>
      </c>
      <c r="T3" s="18" t="s">
        <v>135</v>
      </c>
      <c r="U3" s="18" t="s">
        <v>136</v>
      </c>
      <c r="V3" s="18" t="s">
        <v>137</v>
      </c>
      <c r="W3" s="18" t="s">
        <v>138</v>
      </c>
      <c r="X3" s="18" t="s">
        <v>139</v>
      </c>
      <c r="Y3" s="18" t="s">
        <v>140</v>
      </c>
      <c r="Z3" s="18" t="s">
        <v>141</v>
      </c>
      <c r="AA3" s="18" t="s">
        <v>142</v>
      </c>
      <c r="AB3" s="18" t="s">
        <v>143</v>
      </c>
      <c r="AC3" s="18" t="s">
        <v>144</v>
      </c>
      <c r="AD3" s="18" t="s">
        <v>145</v>
      </c>
      <c r="AE3" s="18" t="s">
        <v>146</v>
      </c>
      <c r="AF3" s="18" t="s">
        <v>147</v>
      </c>
      <c r="AG3" s="18" t="s">
        <v>148</v>
      </c>
      <c r="AH3" s="18" t="s">
        <v>149</v>
      </c>
      <c r="AI3" s="18" t="s">
        <v>150</v>
      </c>
      <c r="AJ3" s="18" t="s">
        <v>151</v>
      </c>
      <c r="AK3" s="18" t="s">
        <v>152</v>
      </c>
      <c r="AL3" s="18" t="s">
        <v>153</v>
      </c>
      <c r="AM3" s="18" t="s">
        <v>154</v>
      </c>
      <c r="AN3" s="18" t="s">
        <v>155</v>
      </c>
      <c r="AO3" s="18" t="s">
        <v>156</v>
      </c>
      <c r="AP3" s="18" t="s">
        <v>157</v>
      </c>
      <c r="AQ3" s="18" t="s">
        <v>158</v>
      </c>
      <c r="AR3" s="18" t="s">
        <v>159</v>
      </c>
      <c r="AS3" s="18" t="s">
        <v>160</v>
      </c>
      <c r="AT3" s="18" t="s">
        <v>161</v>
      </c>
      <c r="AU3" s="18" t="s">
        <v>162</v>
      </c>
      <c r="AV3" s="18" t="s">
        <v>163</v>
      </c>
      <c r="AW3" s="18" t="s">
        <v>164</v>
      </c>
      <c r="AX3" s="18" t="s">
        <v>165</v>
      </c>
      <c r="AY3" s="18" t="s">
        <v>166</v>
      </c>
      <c r="AZ3" s="18" t="s">
        <v>167</v>
      </c>
      <c r="BA3" s="18" t="s">
        <v>168</v>
      </c>
      <c r="BB3" s="18" t="s">
        <v>169</v>
      </c>
      <c r="BC3" s="18" t="s">
        <v>170</v>
      </c>
      <c r="BD3" s="18" t="s">
        <v>171</v>
      </c>
      <c r="BE3" s="18" t="s">
        <v>172</v>
      </c>
      <c r="BF3" s="18" t="s">
        <v>173</v>
      </c>
      <c r="BG3" s="18" t="s">
        <v>174</v>
      </c>
      <c r="BH3" s="18" t="s">
        <v>175</v>
      </c>
      <c r="BI3" s="18" t="s">
        <v>176</v>
      </c>
    </row>
    <row r="4">
      <c r="A4" s="2" t="s">
        <v>177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>
      <c r="A5" s="4" t="s">
        <v>178</v>
      </c>
      <c r="B5" s="19">
        <f>'前提'!$B$13</f>
        <v>2</v>
      </c>
      <c r="C5" s="19">
        <f>'前提'!$B$13</f>
        <v>2</v>
      </c>
      <c r="D5" s="19">
        <f>'前提'!$B$13</f>
        <v>2</v>
      </c>
      <c r="E5" s="19">
        <f>'前提'!$B$13</f>
        <v>2</v>
      </c>
      <c r="F5" s="19">
        <f>'前提'!$B$13</f>
        <v>2</v>
      </c>
      <c r="G5" s="19">
        <f>'前提'!$B$13</f>
        <v>2</v>
      </c>
      <c r="H5" s="19">
        <f>'前提'!$B$14</f>
        <v>3</v>
      </c>
      <c r="I5" s="19">
        <f>'前提'!$B$14</f>
        <v>3</v>
      </c>
      <c r="J5" s="19">
        <f>'前提'!$B$14</f>
        <v>3</v>
      </c>
      <c r="K5" s="19">
        <f>'前提'!$B$14</f>
        <v>3</v>
      </c>
      <c r="L5" s="19">
        <f>'前提'!$B$14</f>
        <v>3</v>
      </c>
      <c r="M5" s="19">
        <f>'前提'!$B$14</f>
        <v>3</v>
      </c>
      <c r="N5" s="19">
        <f>'前提'!$B$15</f>
        <v>8</v>
      </c>
      <c r="O5" s="19">
        <f>'前提'!$B$15</f>
        <v>8</v>
      </c>
      <c r="P5" s="19">
        <f>'前提'!$B$15</f>
        <v>8</v>
      </c>
      <c r="Q5" s="19">
        <f>'前提'!$B$15</f>
        <v>8</v>
      </c>
      <c r="R5" s="19">
        <f>'前提'!$B$15</f>
        <v>8</v>
      </c>
      <c r="S5" s="19">
        <f>'前提'!$B$15</f>
        <v>8</v>
      </c>
      <c r="T5" s="19">
        <f>'前提'!$B$16</f>
        <v>15</v>
      </c>
      <c r="U5" s="19">
        <f>'前提'!$B$16</f>
        <v>15</v>
      </c>
      <c r="V5" s="19">
        <f>'前提'!$B$16</f>
        <v>15</v>
      </c>
      <c r="W5" s="19">
        <f>'前提'!$B$16</f>
        <v>15</v>
      </c>
      <c r="X5" s="19">
        <f>'前提'!$B$16</f>
        <v>15</v>
      </c>
      <c r="Y5" s="19">
        <f>'前提'!$B$16</f>
        <v>15</v>
      </c>
      <c r="Z5" s="19">
        <f>'前提'!$B$16</f>
        <v>15</v>
      </c>
      <c r="AA5" s="19">
        <f>'前提'!$B$16</f>
        <v>15</v>
      </c>
      <c r="AB5" s="19">
        <f>'前提'!$B$16</f>
        <v>15</v>
      </c>
      <c r="AC5" s="19">
        <f>'前提'!$B$16</f>
        <v>15</v>
      </c>
      <c r="AD5" s="19">
        <f>'前提'!$B$16</f>
        <v>15</v>
      </c>
      <c r="AE5" s="19">
        <f>'前提'!$B$16</f>
        <v>15</v>
      </c>
      <c r="AF5" s="19">
        <f>'前提'!$B$16</f>
        <v>15</v>
      </c>
      <c r="AG5" s="19">
        <f>'前提'!$B$16</f>
        <v>15</v>
      </c>
      <c r="AH5" s="19">
        <f>'前提'!$B$16</f>
        <v>15</v>
      </c>
      <c r="AI5" s="19">
        <f>'前提'!$B$16</f>
        <v>15</v>
      </c>
      <c r="AJ5" s="19">
        <f>'前提'!$B$16</f>
        <v>15</v>
      </c>
      <c r="AK5" s="19">
        <f>'前提'!$B$16</f>
        <v>15</v>
      </c>
      <c r="AL5" s="19">
        <f>'前提'!$B$17</f>
        <v>25</v>
      </c>
      <c r="AM5" s="19">
        <f>'前提'!$B$17</f>
        <v>25</v>
      </c>
      <c r="AN5" s="19">
        <f>'前提'!$B$17</f>
        <v>25</v>
      </c>
      <c r="AO5" s="19">
        <f>'前提'!$B$17</f>
        <v>25</v>
      </c>
      <c r="AP5" s="19">
        <f>'前提'!$B$17</f>
        <v>25</v>
      </c>
      <c r="AQ5" s="19">
        <f>'前提'!$B$17</f>
        <v>25</v>
      </c>
      <c r="AR5" s="19">
        <f>'前提'!$B$17</f>
        <v>25</v>
      </c>
      <c r="AS5" s="19">
        <f>'前提'!$B$17</f>
        <v>25</v>
      </c>
      <c r="AT5" s="19">
        <f>'前提'!$B$17</f>
        <v>25</v>
      </c>
      <c r="AU5" s="19">
        <f>'前提'!$B$17</f>
        <v>25</v>
      </c>
      <c r="AV5" s="19">
        <f>'前提'!$B$17</f>
        <v>25</v>
      </c>
      <c r="AW5" s="19">
        <f>'前提'!$B$17</f>
        <v>25</v>
      </c>
      <c r="AX5" s="19">
        <f>'前提'!$B$17</f>
        <v>25</v>
      </c>
      <c r="AY5" s="19">
        <f>'前提'!$B$17</f>
        <v>25</v>
      </c>
      <c r="AZ5" s="19">
        <f>'前提'!$B$17</f>
        <v>25</v>
      </c>
      <c r="BA5" s="19">
        <f>'前提'!$B$17</f>
        <v>25</v>
      </c>
      <c r="BB5" s="19">
        <f>'前提'!$B$17</f>
        <v>25</v>
      </c>
      <c r="BC5" s="19">
        <f>'前提'!$B$17</f>
        <v>25</v>
      </c>
      <c r="BD5" s="19">
        <f>'前提'!$B$17</f>
        <v>25</v>
      </c>
      <c r="BE5" s="19">
        <f>'前提'!$B$17</f>
        <v>25</v>
      </c>
      <c r="BF5" s="19">
        <f>'前提'!$B$17</f>
        <v>25</v>
      </c>
      <c r="BG5" s="19">
        <f>'前提'!$B$17</f>
        <v>25</v>
      </c>
      <c r="BH5" s="19">
        <f>'前提'!$B$17</f>
        <v>25</v>
      </c>
      <c r="BI5" s="19">
        <f>'前提'!$B$17</f>
        <v>25</v>
      </c>
    </row>
    <row r="6">
      <c r="A6" s="4" t="s">
        <v>179</v>
      </c>
      <c r="B6" s="20">
        <f>ROUNDUP(B5/'前提'!$B$39,0)</f>
        <v>8</v>
      </c>
      <c r="C6" s="20">
        <f>ROUNDUP(C5/'前提'!$B$39,0)</f>
        <v>8</v>
      </c>
      <c r="D6" s="20">
        <f>ROUNDUP(D5/'前提'!$B$39,0)</f>
        <v>8</v>
      </c>
      <c r="E6" s="20">
        <f>ROUNDUP(E5/'前提'!$B$39,0)</f>
        <v>8</v>
      </c>
      <c r="F6" s="20">
        <f>ROUNDUP(F5/'前提'!$B$39,0)</f>
        <v>8</v>
      </c>
      <c r="G6" s="20">
        <f>ROUNDUP(G5/'前提'!$B$39,0)</f>
        <v>8</v>
      </c>
      <c r="H6" s="20">
        <f>ROUNDUP(H5/'前提'!$B$39,0)</f>
        <v>12</v>
      </c>
      <c r="I6" s="20">
        <f>ROUNDUP(I5/'前提'!$B$39,0)</f>
        <v>12</v>
      </c>
      <c r="J6" s="20">
        <f>ROUNDUP(J5/'前提'!$B$39,0)</f>
        <v>12</v>
      </c>
      <c r="K6" s="20">
        <f>ROUNDUP(K5/'前提'!$B$39,0)</f>
        <v>12</v>
      </c>
      <c r="L6" s="20">
        <f>ROUNDUP(L5/'前提'!$B$39,0)</f>
        <v>12</v>
      </c>
      <c r="M6" s="20">
        <f>ROUNDUP(M5/'前提'!$B$39,0)</f>
        <v>12</v>
      </c>
      <c r="N6" s="20">
        <f>ROUNDUP(N5/'前提'!$B$39,0)</f>
        <v>32</v>
      </c>
      <c r="O6" s="20">
        <f>ROUNDUP(O5/'前提'!$B$39,0)</f>
        <v>32</v>
      </c>
      <c r="P6" s="20">
        <f>ROUNDUP(P5/'前提'!$B$39,0)</f>
        <v>32</v>
      </c>
      <c r="Q6" s="20">
        <f>ROUNDUP(Q5/'前提'!$B$39,0)</f>
        <v>32</v>
      </c>
      <c r="R6" s="20">
        <f>ROUNDUP(R5/'前提'!$B$39,0)</f>
        <v>32</v>
      </c>
      <c r="S6" s="20">
        <f>ROUNDUP(S5/'前提'!$B$39,0)</f>
        <v>32</v>
      </c>
      <c r="T6" s="20">
        <f>ROUNDUP(T5/'前提'!$B$39,0)</f>
        <v>60</v>
      </c>
      <c r="U6" s="20">
        <f>ROUNDUP(U5/'前提'!$B$39,0)</f>
        <v>60</v>
      </c>
      <c r="V6" s="20">
        <f>ROUNDUP(V5/'前提'!$B$39,0)</f>
        <v>60</v>
      </c>
      <c r="W6" s="20">
        <f>ROUNDUP(W5/'前提'!$B$39,0)</f>
        <v>60</v>
      </c>
      <c r="X6" s="20">
        <f>ROUNDUP(X5/'前提'!$B$39,0)</f>
        <v>60</v>
      </c>
      <c r="Y6" s="20">
        <f>ROUNDUP(Y5/'前提'!$B$39,0)</f>
        <v>60</v>
      </c>
      <c r="Z6" s="20">
        <f>ROUNDUP(Z5/'前提'!$B$39,0)</f>
        <v>60</v>
      </c>
      <c r="AA6" s="20">
        <f>ROUNDUP(AA5/'前提'!$B$39,0)</f>
        <v>60</v>
      </c>
      <c r="AB6" s="20">
        <f>ROUNDUP(AB5/'前提'!$B$39,0)</f>
        <v>60</v>
      </c>
      <c r="AC6" s="20">
        <f>ROUNDUP(AC5/'前提'!$B$39,0)</f>
        <v>60</v>
      </c>
      <c r="AD6" s="20">
        <f>ROUNDUP(AD5/'前提'!$B$39,0)</f>
        <v>60</v>
      </c>
      <c r="AE6" s="20">
        <f>ROUNDUP(AE5/'前提'!$B$39,0)</f>
        <v>60</v>
      </c>
      <c r="AF6" s="20">
        <f>ROUNDUP(AF5/'前提'!$B$39,0)</f>
        <v>60</v>
      </c>
      <c r="AG6" s="20">
        <f>ROUNDUP(AG5/'前提'!$B$39,0)</f>
        <v>60</v>
      </c>
      <c r="AH6" s="20">
        <f>ROUNDUP(AH5/'前提'!$B$39,0)</f>
        <v>60</v>
      </c>
      <c r="AI6" s="20">
        <f>ROUNDUP(AI5/'前提'!$B$39,0)</f>
        <v>60</v>
      </c>
      <c r="AJ6" s="20">
        <f>ROUNDUP(AJ5/'前提'!$B$39,0)</f>
        <v>60</v>
      </c>
      <c r="AK6" s="20">
        <f>ROUNDUP(AK5/'前提'!$B$39,0)</f>
        <v>60</v>
      </c>
      <c r="AL6" s="20">
        <f>ROUNDUP(AL5/'前提'!$B$39,0)</f>
        <v>100</v>
      </c>
      <c r="AM6" s="20">
        <f>ROUNDUP(AM5/'前提'!$B$39,0)</f>
        <v>100</v>
      </c>
      <c r="AN6" s="20">
        <f>ROUNDUP(AN5/'前提'!$B$39,0)</f>
        <v>100</v>
      </c>
      <c r="AO6" s="20">
        <f>ROUNDUP(AO5/'前提'!$B$39,0)</f>
        <v>100</v>
      </c>
      <c r="AP6" s="20">
        <f>ROUNDUP(AP5/'前提'!$B$39,0)</f>
        <v>100</v>
      </c>
      <c r="AQ6" s="20">
        <f>ROUNDUP(AQ5/'前提'!$B$39,0)</f>
        <v>100</v>
      </c>
      <c r="AR6" s="20">
        <f>ROUNDUP(AR5/'前提'!$B$39,0)</f>
        <v>100</v>
      </c>
      <c r="AS6" s="20">
        <f>ROUNDUP(AS5/'前提'!$B$39,0)</f>
        <v>100</v>
      </c>
      <c r="AT6" s="20">
        <f>ROUNDUP(AT5/'前提'!$B$39,0)</f>
        <v>100</v>
      </c>
      <c r="AU6" s="20">
        <f>ROUNDUP(AU5/'前提'!$B$39,0)</f>
        <v>100</v>
      </c>
      <c r="AV6" s="20">
        <f>ROUNDUP(AV5/'前提'!$B$39,0)</f>
        <v>100</v>
      </c>
      <c r="AW6" s="20">
        <f>ROUNDUP(AW5/'前提'!$B$39,0)</f>
        <v>100</v>
      </c>
      <c r="AX6" s="20">
        <f>ROUNDUP(AX5/'前提'!$B$39,0)</f>
        <v>100</v>
      </c>
      <c r="AY6" s="20">
        <f>ROUNDUP(AY5/'前提'!$B$39,0)</f>
        <v>100</v>
      </c>
      <c r="AZ6" s="20">
        <f>ROUNDUP(AZ5/'前提'!$B$39,0)</f>
        <v>100</v>
      </c>
      <c r="BA6" s="20">
        <f>ROUNDUP(BA5/'前提'!$B$39,0)</f>
        <v>100</v>
      </c>
      <c r="BB6" s="20">
        <f>ROUNDUP(BB5/'前提'!$B$39,0)</f>
        <v>100</v>
      </c>
      <c r="BC6" s="20">
        <f>ROUNDUP(BC5/'前提'!$B$39,0)</f>
        <v>100</v>
      </c>
      <c r="BD6" s="20">
        <f>ROUNDUP(BD5/'前提'!$B$39,0)</f>
        <v>100</v>
      </c>
      <c r="BE6" s="20">
        <f>ROUNDUP(BE5/'前提'!$B$39,0)</f>
        <v>100</v>
      </c>
      <c r="BF6" s="20">
        <f>ROUNDUP(BF5/'前提'!$B$39,0)</f>
        <v>100</v>
      </c>
      <c r="BG6" s="20">
        <f>ROUNDUP(BG5/'前提'!$B$39,0)</f>
        <v>100</v>
      </c>
      <c r="BH6" s="20">
        <f>ROUNDUP(BH5/'前提'!$B$39,0)</f>
        <v>100</v>
      </c>
      <c r="BI6" s="20">
        <f>ROUNDUP(BI5/'前提'!$B$39,0)</f>
        <v>100</v>
      </c>
    </row>
    <row r="7">
      <c r="A7" s="4" t="s">
        <v>180</v>
      </c>
      <c r="B7" s="20">
        <f>IF('前提'!$B$46&gt;0,ROUNDUP(B6/'前提'!$B$46,0),0)</f>
        <v>52</v>
      </c>
      <c r="C7" s="20">
        <f>IF('前提'!$B$46&gt;0,ROUNDUP(C6/'前提'!$B$46,0),0)</f>
        <v>52</v>
      </c>
      <c r="D7" s="20">
        <f>IF('前提'!$B$46&gt;0,ROUNDUP(D6/'前提'!$B$46,0),0)</f>
        <v>52</v>
      </c>
      <c r="E7" s="20">
        <f>IF('前提'!$B$46&gt;0,ROUNDUP(E6/'前提'!$B$46,0),0)</f>
        <v>52</v>
      </c>
      <c r="F7" s="20">
        <f>IF('前提'!$B$46&gt;0,ROUNDUP(F6/'前提'!$B$46,0),0)</f>
        <v>52</v>
      </c>
      <c r="G7" s="20">
        <f>IF('前提'!$B$46&gt;0,ROUNDUP(G6/'前提'!$B$46,0),0)</f>
        <v>52</v>
      </c>
      <c r="H7" s="20">
        <f>IF('前提'!$B$46&gt;0,ROUNDUP(H6/'前提'!$B$46,0),0)</f>
        <v>78</v>
      </c>
      <c r="I7" s="20">
        <f>IF('前提'!$B$46&gt;0,ROUNDUP(I6/'前提'!$B$46,0),0)</f>
        <v>78</v>
      </c>
      <c r="J7" s="20">
        <f>IF('前提'!$B$46&gt;0,ROUNDUP(J6/'前提'!$B$46,0),0)</f>
        <v>78</v>
      </c>
      <c r="K7" s="20">
        <f>IF('前提'!$B$46&gt;0,ROUNDUP(K6/'前提'!$B$46,0),0)</f>
        <v>78</v>
      </c>
      <c r="L7" s="20">
        <f>IF('前提'!$B$46&gt;0,ROUNDUP(L6/'前提'!$B$46,0),0)</f>
        <v>78</v>
      </c>
      <c r="M7" s="20">
        <f>IF('前提'!$B$46&gt;0,ROUNDUP(M6/'前提'!$B$46,0),0)</f>
        <v>78</v>
      </c>
      <c r="N7" s="20">
        <f>IF('前提'!$B$46&gt;0,ROUNDUP(N6/'前提'!$B$46,0),0)</f>
        <v>207</v>
      </c>
      <c r="O7" s="20">
        <f>IF('前提'!$B$46&gt;0,ROUNDUP(O6/'前提'!$B$46,0),0)</f>
        <v>207</v>
      </c>
      <c r="P7" s="20">
        <f>IF('前提'!$B$46&gt;0,ROUNDUP(P6/'前提'!$B$46,0),0)</f>
        <v>207</v>
      </c>
      <c r="Q7" s="20">
        <f>IF('前提'!$B$46&gt;0,ROUNDUP(Q6/'前提'!$B$46,0),0)</f>
        <v>207</v>
      </c>
      <c r="R7" s="20">
        <f>IF('前提'!$B$46&gt;0,ROUNDUP(R6/'前提'!$B$46,0),0)</f>
        <v>207</v>
      </c>
      <c r="S7" s="20">
        <f>IF('前提'!$B$46&gt;0,ROUNDUP(S6/'前提'!$B$46,0),0)</f>
        <v>207</v>
      </c>
      <c r="T7" s="20">
        <f>IF('前提'!$C$46&gt;0,ROUNDUP(T6/'前提'!$C$46,0),0)</f>
        <v>619</v>
      </c>
      <c r="U7" s="20">
        <f>IF('前提'!$C$46&gt;0,ROUNDUP(U6/'前提'!$C$46,0),0)</f>
        <v>619</v>
      </c>
      <c r="V7" s="20">
        <f>IF('前提'!$C$46&gt;0,ROUNDUP(V6/'前提'!$C$46,0),0)</f>
        <v>619</v>
      </c>
      <c r="W7" s="20">
        <f>IF('前提'!$C$46&gt;0,ROUNDUP(W6/'前提'!$C$46,0),0)</f>
        <v>619</v>
      </c>
      <c r="X7" s="20">
        <f>IF('前提'!$C$46&gt;0,ROUNDUP(X6/'前提'!$C$46,0),0)</f>
        <v>619</v>
      </c>
      <c r="Y7" s="20">
        <f>IF('前提'!$C$46&gt;0,ROUNDUP(Y6/'前提'!$C$46,0),0)</f>
        <v>619</v>
      </c>
      <c r="Z7" s="20">
        <f>IF('前提'!$C$46&gt;0,ROUNDUP(Z6/'前提'!$C$46,0),0)</f>
        <v>619</v>
      </c>
      <c r="AA7" s="20">
        <f>IF('前提'!$C$46&gt;0,ROUNDUP(AA6/'前提'!$C$46,0),0)</f>
        <v>619</v>
      </c>
      <c r="AB7" s="20">
        <f>IF('前提'!$C$46&gt;0,ROUNDUP(AB6/'前提'!$C$46,0),0)</f>
        <v>619</v>
      </c>
      <c r="AC7" s="20">
        <f>IF('前提'!$C$46&gt;0,ROUNDUP(AC6/'前提'!$C$46,0),0)</f>
        <v>619</v>
      </c>
      <c r="AD7" s="20">
        <f>IF('前提'!$C$46&gt;0,ROUNDUP(AD6/'前提'!$C$46,0),0)</f>
        <v>619</v>
      </c>
      <c r="AE7" s="20">
        <f>IF('前提'!$C$46&gt;0,ROUNDUP(AE6/'前提'!$C$46,0),0)</f>
        <v>619</v>
      </c>
      <c r="AF7" s="20">
        <f>IF('前提'!$C$46&gt;0,ROUNDUP(AF6/'前提'!$C$46,0),0)</f>
        <v>619</v>
      </c>
      <c r="AG7" s="20">
        <f>IF('前提'!$C$46&gt;0,ROUNDUP(AG6/'前提'!$C$46,0),0)</f>
        <v>619</v>
      </c>
      <c r="AH7" s="20">
        <f>IF('前提'!$C$46&gt;0,ROUNDUP(AH6/'前提'!$C$46,0),0)</f>
        <v>619</v>
      </c>
      <c r="AI7" s="20">
        <f>IF('前提'!$C$46&gt;0,ROUNDUP(AI6/'前提'!$C$46,0),0)</f>
        <v>619</v>
      </c>
      <c r="AJ7" s="20">
        <f>IF('前提'!$C$46&gt;0,ROUNDUP(AJ6/'前提'!$C$46,0),0)</f>
        <v>619</v>
      </c>
      <c r="AK7" s="20">
        <f>IF('前提'!$C$46&gt;0,ROUNDUP(AK6/'前提'!$C$46,0),0)</f>
        <v>619</v>
      </c>
      <c r="AL7" s="20">
        <f>IF('前提'!$D$46&gt;0,ROUNDUP(AL6/'前提'!$D$46,0),0)</f>
        <v>1471</v>
      </c>
      <c r="AM7" s="20">
        <f>IF('前提'!$D$46&gt;0,ROUNDUP(AM6/'前提'!$D$46,0),0)</f>
        <v>1471</v>
      </c>
      <c r="AN7" s="20">
        <f>IF('前提'!$D$46&gt;0,ROUNDUP(AN6/'前提'!$D$46,0),0)</f>
        <v>1471</v>
      </c>
      <c r="AO7" s="20">
        <f>IF('前提'!$D$46&gt;0,ROUNDUP(AO6/'前提'!$D$46,0),0)</f>
        <v>1471</v>
      </c>
      <c r="AP7" s="20">
        <f>IF('前提'!$D$46&gt;0,ROUNDUP(AP6/'前提'!$D$46,0),0)</f>
        <v>1471</v>
      </c>
      <c r="AQ7" s="20">
        <f>IF('前提'!$D$46&gt;0,ROUNDUP(AQ6/'前提'!$D$46,0),0)</f>
        <v>1471</v>
      </c>
      <c r="AR7" s="20">
        <f>IF('前提'!$D$46&gt;0,ROUNDUP(AR6/'前提'!$D$46,0),0)</f>
        <v>1471</v>
      </c>
      <c r="AS7" s="20">
        <f>IF('前提'!$D$46&gt;0,ROUNDUP(AS6/'前提'!$D$46,0),0)</f>
        <v>1471</v>
      </c>
      <c r="AT7" s="20">
        <f>IF('前提'!$D$46&gt;0,ROUNDUP(AT6/'前提'!$D$46,0),0)</f>
        <v>1471</v>
      </c>
      <c r="AU7" s="20">
        <f>IF('前提'!$D$46&gt;0,ROUNDUP(AU6/'前提'!$D$46,0),0)</f>
        <v>1471</v>
      </c>
      <c r="AV7" s="20">
        <f>IF('前提'!$D$46&gt;0,ROUNDUP(AV6/'前提'!$D$46,0),0)</f>
        <v>1471</v>
      </c>
      <c r="AW7" s="20">
        <f>IF('前提'!$D$46&gt;0,ROUNDUP(AW6/'前提'!$D$46,0),0)</f>
        <v>1471</v>
      </c>
      <c r="AX7" s="20">
        <f>IF('前提'!$D$46&gt;0,ROUNDUP(AX6/'前提'!$D$46,0),0)</f>
        <v>1471</v>
      </c>
      <c r="AY7" s="20">
        <f>IF('前提'!$D$46&gt;0,ROUNDUP(AY6/'前提'!$D$46,0),0)</f>
        <v>1471</v>
      </c>
      <c r="AZ7" s="20">
        <f>IF('前提'!$D$46&gt;0,ROUNDUP(AZ6/'前提'!$D$46,0),0)</f>
        <v>1471</v>
      </c>
      <c r="BA7" s="20">
        <f>IF('前提'!$D$46&gt;0,ROUNDUP(BA6/'前提'!$D$46,0),0)</f>
        <v>1471</v>
      </c>
      <c r="BB7" s="20">
        <f>IF('前提'!$D$46&gt;0,ROUNDUP(BB6/'前提'!$D$46,0),0)</f>
        <v>1471</v>
      </c>
      <c r="BC7" s="20">
        <f>IF('前提'!$D$46&gt;0,ROUNDUP(BC6/'前提'!$D$46,0),0)</f>
        <v>1471</v>
      </c>
      <c r="BD7" s="20">
        <f>IF('前提'!$D$46&gt;0,ROUNDUP(BD6/'前提'!$D$46,0),0)</f>
        <v>1471</v>
      </c>
      <c r="BE7" s="20">
        <f>IF('前提'!$D$46&gt;0,ROUNDUP(BE6/'前提'!$D$46,0),0)</f>
        <v>1471</v>
      </c>
      <c r="BF7" s="20">
        <f>IF('前提'!$D$46&gt;0,ROUNDUP(BF6/'前提'!$D$46,0),0)</f>
        <v>1471</v>
      </c>
      <c r="BG7" s="20">
        <f>IF('前提'!$D$46&gt;0,ROUNDUP(BG6/'前提'!$D$46,0),0)</f>
        <v>1471</v>
      </c>
      <c r="BH7" s="20">
        <f>IF('前提'!$D$46&gt;0,ROUNDUP(BH6/'前提'!$D$46,0),0)</f>
        <v>1471</v>
      </c>
      <c r="BI7" s="20">
        <f>IF('前提'!$D$46&gt;0,ROUNDUP(BI6/'前提'!$D$46,0),0)</f>
        <v>1471</v>
      </c>
    </row>
    <row r="8">
      <c r="A8" s="4" t="s">
        <v>181</v>
      </c>
      <c r="B8" s="21">
        <f>IF('前提'!$B$48&gt;0,B7/'前提'!$B$48,0)</f>
        <v>0.4333333333</v>
      </c>
      <c r="C8" s="21">
        <f>IF('前提'!$B$48&gt;0,C7/'前提'!$B$48,0)</f>
        <v>0.4333333333</v>
      </c>
      <c r="D8" s="21">
        <f>IF('前提'!$B$48&gt;0,D7/'前提'!$B$48,0)</f>
        <v>0.4333333333</v>
      </c>
      <c r="E8" s="21">
        <f>IF('前提'!$B$48&gt;0,E7/'前提'!$B$48,0)</f>
        <v>0.4333333333</v>
      </c>
      <c r="F8" s="21">
        <f>IF('前提'!$B$48&gt;0,F7/'前提'!$B$48,0)</f>
        <v>0.4333333333</v>
      </c>
      <c r="G8" s="21">
        <f>IF('前提'!$B$48&gt;0,G7/'前提'!$B$48,0)</f>
        <v>0.4333333333</v>
      </c>
      <c r="H8" s="21">
        <f>IF('前提'!$B$48&gt;0,H7/'前提'!$B$48,0)</f>
        <v>0.65</v>
      </c>
      <c r="I8" s="21">
        <f>IF('前提'!$B$48&gt;0,I7/'前提'!$B$48,0)</f>
        <v>0.65</v>
      </c>
      <c r="J8" s="21">
        <f>IF('前提'!$B$48&gt;0,J7/'前提'!$B$48,0)</f>
        <v>0.65</v>
      </c>
      <c r="K8" s="21">
        <f>IF('前提'!$B$48&gt;0,K7/'前提'!$B$48,0)</f>
        <v>0.65</v>
      </c>
      <c r="L8" s="21">
        <f>IF('前提'!$B$48&gt;0,L7/'前提'!$B$48,0)</f>
        <v>0.65</v>
      </c>
      <c r="M8" s="21">
        <f>IF('前提'!$B$48&gt;0,M7/'前提'!$B$48,0)</f>
        <v>0.65</v>
      </c>
      <c r="N8" s="21">
        <f>IF('前提'!$B$48&gt;0,N7/'前提'!$B$48,0)</f>
        <v>1.725</v>
      </c>
      <c r="O8" s="21">
        <f>IF('前提'!$B$48&gt;0,O7/'前提'!$B$48,0)</f>
        <v>1.725</v>
      </c>
      <c r="P8" s="21">
        <f>IF('前提'!$B$48&gt;0,P7/'前提'!$B$48,0)</f>
        <v>1.725</v>
      </c>
      <c r="Q8" s="21">
        <f>IF('前提'!$B$48&gt;0,Q7/'前提'!$B$48,0)</f>
        <v>1.725</v>
      </c>
      <c r="R8" s="21">
        <f>IF('前提'!$B$48&gt;0,R7/'前提'!$B$48,0)</f>
        <v>1.725</v>
      </c>
      <c r="S8" s="21">
        <f>IF('前提'!$B$48&gt;0,S7/'前提'!$B$48,0)</f>
        <v>1.725</v>
      </c>
      <c r="T8" s="21">
        <f>IF('前提'!$B$48&gt;0,T7/'前提'!$B$48,0)</f>
        <v>5.158333333</v>
      </c>
      <c r="U8" s="21">
        <f>IF('前提'!$B$48&gt;0,U7/'前提'!$B$48,0)</f>
        <v>5.158333333</v>
      </c>
      <c r="V8" s="21">
        <f>IF('前提'!$B$48&gt;0,V7/'前提'!$B$48,0)</f>
        <v>5.158333333</v>
      </c>
      <c r="W8" s="21">
        <f>IF('前提'!$B$48&gt;0,W7/'前提'!$B$48,0)</f>
        <v>5.158333333</v>
      </c>
      <c r="X8" s="21">
        <f>IF('前提'!$B$48&gt;0,X7/'前提'!$B$48,0)</f>
        <v>5.158333333</v>
      </c>
      <c r="Y8" s="21">
        <f>IF('前提'!$B$48&gt;0,Y7/'前提'!$B$48,0)</f>
        <v>5.158333333</v>
      </c>
      <c r="Z8" s="21">
        <f>IF('前提'!$B$48&gt;0,Z7/'前提'!$B$48,0)</f>
        <v>5.158333333</v>
      </c>
      <c r="AA8" s="21">
        <f>IF('前提'!$B$48&gt;0,AA7/'前提'!$B$48,0)</f>
        <v>5.158333333</v>
      </c>
      <c r="AB8" s="21">
        <f>IF('前提'!$B$48&gt;0,AB7/'前提'!$B$48,0)</f>
        <v>5.158333333</v>
      </c>
      <c r="AC8" s="21">
        <f>IF('前提'!$B$48&gt;0,AC7/'前提'!$B$48,0)</f>
        <v>5.158333333</v>
      </c>
      <c r="AD8" s="21">
        <f>IF('前提'!$B$48&gt;0,AD7/'前提'!$B$48,0)</f>
        <v>5.158333333</v>
      </c>
      <c r="AE8" s="21">
        <f>IF('前提'!$B$48&gt;0,AE7/'前提'!$B$48,0)</f>
        <v>5.158333333</v>
      </c>
      <c r="AF8" s="21">
        <f>IF('前提'!$B$48&gt;0,AF7/'前提'!$B$48,0)</f>
        <v>5.158333333</v>
      </c>
      <c r="AG8" s="21">
        <f>IF('前提'!$B$48&gt;0,AG7/'前提'!$B$48,0)</f>
        <v>5.158333333</v>
      </c>
      <c r="AH8" s="21">
        <f>IF('前提'!$B$48&gt;0,AH7/'前提'!$B$48,0)</f>
        <v>5.158333333</v>
      </c>
      <c r="AI8" s="21">
        <f>IF('前提'!$B$48&gt;0,AI7/'前提'!$B$48,0)</f>
        <v>5.158333333</v>
      </c>
      <c r="AJ8" s="21">
        <f>IF('前提'!$B$48&gt;0,AJ7/'前提'!$B$48,0)</f>
        <v>5.158333333</v>
      </c>
      <c r="AK8" s="21">
        <f>IF('前提'!$B$48&gt;0,AK7/'前提'!$B$48,0)</f>
        <v>5.158333333</v>
      </c>
      <c r="AL8" s="21">
        <f>IF('前提'!$B$48&gt;0,AL7/'前提'!$B$48,0)</f>
        <v>12.25833333</v>
      </c>
      <c r="AM8" s="21">
        <f>IF('前提'!$B$48&gt;0,AM7/'前提'!$B$48,0)</f>
        <v>12.25833333</v>
      </c>
      <c r="AN8" s="21">
        <f>IF('前提'!$B$48&gt;0,AN7/'前提'!$B$48,0)</f>
        <v>12.25833333</v>
      </c>
      <c r="AO8" s="21">
        <f>IF('前提'!$B$48&gt;0,AO7/'前提'!$B$48,0)</f>
        <v>12.25833333</v>
      </c>
      <c r="AP8" s="21">
        <f>IF('前提'!$B$48&gt;0,AP7/'前提'!$B$48,0)</f>
        <v>12.25833333</v>
      </c>
      <c r="AQ8" s="21">
        <f>IF('前提'!$B$48&gt;0,AQ7/'前提'!$B$48,0)</f>
        <v>12.25833333</v>
      </c>
      <c r="AR8" s="21">
        <f>IF('前提'!$B$48&gt;0,AR7/'前提'!$B$48,0)</f>
        <v>12.25833333</v>
      </c>
      <c r="AS8" s="21">
        <f>IF('前提'!$B$48&gt;0,AS7/'前提'!$B$48,0)</f>
        <v>12.25833333</v>
      </c>
      <c r="AT8" s="21">
        <f>IF('前提'!$B$48&gt;0,AT7/'前提'!$B$48,0)</f>
        <v>12.25833333</v>
      </c>
      <c r="AU8" s="21">
        <f>IF('前提'!$B$48&gt;0,AU7/'前提'!$B$48,0)</f>
        <v>12.25833333</v>
      </c>
      <c r="AV8" s="21">
        <f>IF('前提'!$B$48&gt;0,AV7/'前提'!$B$48,0)</f>
        <v>12.25833333</v>
      </c>
      <c r="AW8" s="21">
        <f>IF('前提'!$B$48&gt;0,AW7/'前提'!$B$48,0)</f>
        <v>12.25833333</v>
      </c>
      <c r="AX8" s="21">
        <f>IF('前提'!$B$48&gt;0,AX7/'前提'!$B$48,0)</f>
        <v>12.25833333</v>
      </c>
      <c r="AY8" s="21">
        <f>IF('前提'!$B$48&gt;0,AY7/'前提'!$B$48,0)</f>
        <v>12.25833333</v>
      </c>
      <c r="AZ8" s="21">
        <f>IF('前提'!$B$48&gt;0,AZ7/'前提'!$B$48,0)</f>
        <v>12.25833333</v>
      </c>
      <c r="BA8" s="21">
        <f>IF('前提'!$B$48&gt;0,BA7/'前提'!$B$48,0)</f>
        <v>12.25833333</v>
      </c>
      <c r="BB8" s="21">
        <f>IF('前提'!$B$48&gt;0,BB7/'前提'!$B$48,0)</f>
        <v>12.25833333</v>
      </c>
      <c r="BC8" s="21">
        <f>IF('前提'!$B$48&gt;0,BC7/'前提'!$B$48,0)</f>
        <v>12.25833333</v>
      </c>
      <c r="BD8" s="21">
        <f>IF('前提'!$B$48&gt;0,BD7/'前提'!$B$48,0)</f>
        <v>12.25833333</v>
      </c>
      <c r="BE8" s="21">
        <f>IF('前提'!$B$48&gt;0,BE7/'前提'!$B$48,0)</f>
        <v>12.25833333</v>
      </c>
      <c r="BF8" s="21">
        <f>IF('前提'!$B$48&gt;0,BF7/'前提'!$B$48,0)</f>
        <v>12.25833333</v>
      </c>
      <c r="BG8" s="21">
        <f>IF('前提'!$B$48&gt;0,BG7/'前提'!$B$48,0)</f>
        <v>12.25833333</v>
      </c>
      <c r="BH8" s="21">
        <f>IF('前提'!$B$48&gt;0,BH7/'前提'!$B$48,0)</f>
        <v>12.25833333</v>
      </c>
      <c r="BI8" s="21">
        <f>IF('前提'!$B$48&gt;0,BI7/'前提'!$B$48,0)</f>
        <v>12.25833333</v>
      </c>
    </row>
    <row r="9">
      <c r="A9" s="4" t="s">
        <v>182</v>
      </c>
      <c r="B9" s="20">
        <f>ROUNDUP(B8,0)*'前提'!$B$49</f>
        <v>400000</v>
      </c>
      <c r="C9" s="20">
        <f>ROUNDUP(C8,0)*'前提'!$B$49</f>
        <v>400000</v>
      </c>
      <c r="D9" s="20">
        <f>ROUNDUP(D8,0)*'前提'!$B$49</f>
        <v>400000</v>
      </c>
      <c r="E9" s="20">
        <f>ROUNDUP(E8,0)*'前提'!$B$49</f>
        <v>400000</v>
      </c>
      <c r="F9" s="20">
        <f>ROUNDUP(F8,0)*'前提'!$B$49</f>
        <v>400000</v>
      </c>
      <c r="G9" s="20">
        <f>ROUNDUP(G8,0)*'前提'!$B$49</f>
        <v>400000</v>
      </c>
      <c r="H9" s="20">
        <f>ROUNDUP(H8,0)*'前提'!$B$49</f>
        <v>400000</v>
      </c>
      <c r="I9" s="20">
        <f>ROUNDUP(I8,0)*'前提'!$B$49</f>
        <v>400000</v>
      </c>
      <c r="J9" s="20">
        <f>ROUNDUP(J8,0)*'前提'!$B$49</f>
        <v>400000</v>
      </c>
      <c r="K9" s="20">
        <f>ROUNDUP(K8,0)*'前提'!$B$49</f>
        <v>400000</v>
      </c>
      <c r="L9" s="20">
        <f>ROUNDUP(L8,0)*'前提'!$B$49</f>
        <v>400000</v>
      </c>
      <c r="M9" s="20">
        <f>ROUNDUP(M8,0)*'前提'!$B$49</f>
        <v>400000</v>
      </c>
      <c r="N9" s="20">
        <f>ROUNDUP(N8,0)*'前提'!$B$49</f>
        <v>800000</v>
      </c>
      <c r="O9" s="20">
        <f>ROUNDUP(O8,0)*'前提'!$B$49</f>
        <v>800000</v>
      </c>
      <c r="P9" s="20">
        <f>ROUNDUP(P8,0)*'前提'!$B$49</f>
        <v>800000</v>
      </c>
      <c r="Q9" s="20">
        <f>ROUNDUP(Q8,0)*'前提'!$B$49</f>
        <v>800000</v>
      </c>
      <c r="R9" s="20">
        <f>ROUNDUP(R8,0)*'前提'!$B$49</f>
        <v>800000</v>
      </c>
      <c r="S9" s="20">
        <f>ROUNDUP(S8,0)*'前提'!$B$49</f>
        <v>800000</v>
      </c>
      <c r="T9" s="20">
        <f>ROUNDUP(T8,0)*'前提'!$B$49</f>
        <v>2400000</v>
      </c>
      <c r="U9" s="20">
        <f>ROUNDUP(U8,0)*'前提'!$B$49</f>
        <v>2400000</v>
      </c>
      <c r="V9" s="20">
        <f>ROUNDUP(V8,0)*'前提'!$B$49</f>
        <v>2400000</v>
      </c>
      <c r="W9" s="20">
        <f>ROUNDUP(W8,0)*'前提'!$B$49</f>
        <v>2400000</v>
      </c>
      <c r="X9" s="20">
        <f>ROUNDUP(X8,0)*'前提'!$B$49</f>
        <v>2400000</v>
      </c>
      <c r="Y9" s="20">
        <f>ROUNDUP(Y8,0)*'前提'!$B$49</f>
        <v>2400000</v>
      </c>
      <c r="Z9" s="20">
        <f>ROUNDUP(Z8,0)*'前提'!$B$49</f>
        <v>2400000</v>
      </c>
      <c r="AA9" s="20">
        <f>ROUNDUP(AA8,0)*'前提'!$B$49</f>
        <v>2400000</v>
      </c>
      <c r="AB9" s="20">
        <f>ROUNDUP(AB8,0)*'前提'!$B$49</f>
        <v>2400000</v>
      </c>
      <c r="AC9" s="20">
        <f>ROUNDUP(AC8,0)*'前提'!$B$49</f>
        <v>2400000</v>
      </c>
      <c r="AD9" s="20">
        <f>ROUNDUP(AD8,0)*'前提'!$B$49</f>
        <v>2400000</v>
      </c>
      <c r="AE9" s="20">
        <f>ROUNDUP(AE8,0)*'前提'!$B$49</f>
        <v>2400000</v>
      </c>
      <c r="AF9" s="20">
        <f>ROUNDUP(AF8,0)*'前提'!$B$49</f>
        <v>2400000</v>
      </c>
      <c r="AG9" s="20">
        <f>ROUNDUP(AG8,0)*'前提'!$B$49</f>
        <v>2400000</v>
      </c>
      <c r="AH9" s="20">
        <f>ROUNDUP(AH8,0)*'前提'!$B$49</f>
        <v>2400000</v>
      </c>
      <c r="AI9" s="20">
        <f>ROUNDUP(AI8,0)*'前提'!$B$49</f>
        <v>2400000</v>
      </c>
      <c r="AJ9" s="20">
        <f>ROUNDUP(AJ8,0)*'前提'!$B$49</f>
        <v>2400000</v>
      </c>
      <c r="AK9" s="20">
        <f>ROUNDUP(AK8,0)*'前提'!$B$49</f>
        <v>2400000</v>
      </c>
      <c r="AL9" s="20">
        <f>ROUNDUP(AL8,0)*'前提'!$B$49</f>
        <v>5200000</v>
      </c>
      <c r="AM9" s="20">
        <f>ROUNDUP(AM8,0)*'前提'!$B$49</f>
        <v>5200000</v>
      </c>
      <c r="AN9" s="20">
        <f>ROUNDUP(AN8,0)*'前提'!$B$49</f>
        <v>5200000</v>
      </c>
      <c r="AO9" s="20">
        <f>ROUNDUP(AO8,0)*'前提'!$B$49</f>
        <v>5200000</v>
      </c>
      <c r="AP9" s="20">
        <f>ROUNDUP(AP8,0)*'前提'!$B$49</f>
        <v>5200000</v>
      </c>
      <c r="AQ9" s="20">
        <f>ROUNDUP(AQ8,0)*'前提'!$B$49</f>
        <v>5200000</v>
      </c>
      <c r="AR9" s="20">
        <f>ROUNDUP(AR8,0)*'前提'!$B$49</f>
        <v>5200000</v>
      </c>
      <c r="AS9" s="20">
        <f>ROUNDUP(AS8,0)*'前提'!$B$49</f>
        <v>5200000</v>
      </c>
      <c r="AT9" s="20">
        <f>ROUNDUP(AT8,0)*'前提'!$B$49</f>
        <v>5200000</v>
      </c>
      <c r="AU9" s="20">
        <f>ROUNDUP(AU8,0)*'前提'!$B$49</f>
        <v>5200000</v>
      </c>
      <c r="AV9" s="20">
        <f>ROUNDUP(AV8,0)*'前提'!$B$49</f>
        <v>5200000</v>
      </c>
      <c r="AW9" s="20">
        <f>ROUNDUP(AW8,0)*'前提'!$B$49</f>
        <v>5200000</v>
      </c>
      <c r="AX9" s="20">
        <f>ROUNDUP(AX8,0)*'前提'!$B$49</f>
        <v>5200000</v>
      </c>
      <c r="AY9" s="20">
        <f>ROUNDUP(AY8,0)*'前提'!$B$49</f>
        <v>5200000</v>
      </c>
      <c r="AZ9" s="20">
        <f>ROUNDUP(AZ8,0)*'前提'!$B$49</f>
        <v>5200000</v>
      </c>
      <c r="BA9" s="20">
        <f>ROUNDUP(BA8,0)*'前提'!$B$49</f>
        <v>5200000</v>
      </c>
      <c r="BB9" s="20">
        <f>ROUNDUP(BB8,0)*'前提'!$B$49</f>
        <v>5200000</v>
      </c>
      <c r="BC9" s="20">
        <f>ROUNDUP(BC8,0)*'前提'!$B$49</f>
        <v>5200000</v>
      </c>
      <c r="BD9" s="20">
        <f>ROUNDUP(BD8,0)*'前提'!$B$49</f>
        <v>5200000</v>
      </c>
      <c r="BE9" s="20">
        <f>ROUNDUP(BE8,0)*'前提'!$B$49</f>
        <v>5200000</v>
      </c>
      <c r="BF9" s="20">
        <f>ROUNDUP(BF8,0)*'前提'!$B$49</f>
        <v>5200000</v>
      </c>
      <c r="BG9" s="20">
        <f>ROUNDUP(BG8,0)*'前提'!$B$49</f>
        <v>5200000</v>
      </c>
      <c r="BH9" s="20">
        <f>ROUNDUP(BH8,0)*'前提'!$B$49</f>
        <v>5200000</v>
      </c>
      <c r="BI9" s="20">
        <f>ROUNDUP(BI8,0)*'前提'!$B$49</f>
        <v>5200000</v>
      </c>
    </row>
    <row r="11">
      <c r="A11" s="2" t="s">
        <v>183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>
      <c r="A12" s="4" t="s">
        <v>184</v>
      </c>
      <c r="B12" s="19">
        <f>'前提'!$B$13</f>
        <v>2</v>
      </c>
      <c r="C12" s="19">
        <f>'前提'!$B$13</f>
        <v>2</v>
      </c>
      <c r="D12" s="19">
        <f>'前提'!$B$13</f>
        <v>2</v>
      </c>
      <c r="E12" s="19">
        <f>'前提'!$B$13</f>
        <v>2</v>
      </c>
      <c r="F12" s="19">
        <f>'前提'!$B$13</f>
        <v>2</v>
      </c>
      <c r="G12" s="19">
        <f>'前提'!$B$13</f>
        <v>2</v>
      </c>
      <c r="H12" s="19">
        <f>'前提'!$B$14</f>
        <v>3</v>
      </c>
      <c r="I12" s="19">
        <f>'前提'!$B$14</f>
        <v>3</v>
      </c>
      <c r="J12" s="19">
        <f>'前提'!$B$14</f>
        <v>3</v>
      </c>
      <c r="K12" s="19">
        <f>'前提'!$B$14</f>
        <v>3</v>
      </c>
      <c r="L12" s="19">
        <f>'前提'!$B$14</f>
        <v>3</v>
      </c>
      <c r="M12" s="19">
        <f>'前提'!$B$14</f>
        <v>3</v>
      </c>
      <c r="N12" s="19">
        <f>'前提'!$B$15</f>
        <v>8</v>
      </c>
      <c r="O12" s="19">
        <f>'前提'!$B$15</f>
        <v>8</v>
      </c>
      <c r="P12" s="19">
        <f>'前提'!$B$15</f>
        <v>8</v>
      </c>
      <c r="Q12" s="19">
        <f>'前提'!$B$15</f>
        <v>8</v>
      </c>
      <c r="R12" s="19">
        <f>'前提'!$B$15</f>
        <v>8</v>
      </c>
      <c r="S12" s="19">
        <f>'前提'!$B$15</f>
        <v>8</v>
      </c>
      <c r="T12" s="19">
        <f>'前提'!$B$16</f>
        <v>15</v>
      </c>
      <c r="U12" s="19">
        <f>'前提'!$B$16</f>
        <v>15</v>
      </c>
      <c r="V12" s="19">
        <f>'前提'!$B$16</f>
        <v>15</v>
      </c>
      <c r="W12" s="19">
        <f>'前提'!$B$16</f>
        <v>15</v>
      </c>
      <c r="X12" s="19">
        <f>'前提'!$B$16</f>
        <v>15</v>
      </c>
      <c r="Y12" s="19">
        <f>'前提'!$B$16</f>
        <v>15</v>
      </c>
      <c r="Z12" s="19">
        <f>'前提'!$B$16</f>
        <v>15</v>
      </c>
      <c r="AA12" s="19">
        <f>'前提'!$B$16</f>
        <v>15</v>
      </c>
      <c r="AB12" s="19">
        <f>'前提'!$B$16</f>
        <v>15</v>
      </c>
      <c r="AC12" s="19">
        <f>'前提'!$B$16</f>
        <v>15</v>
      </c>
      <c r="AD12" s="19">
        <f>'前提'!$B$16</f>
        <v>15</v>
      </c>
      <c r="AE12" s="19">
        <f>'前提'!$B$16</f>
        <v>15</v>
      </c>
      <c r="AF12" s="19">
        <f>'前提'!$B$16</f>
        <v>15</v>
      </c>
      <c r="AG12" s="19">
        <f>'前提'!$B$16</f>
        <v>15</v>
      </c>
      <c r="AH12" s="19">
        <f>'前提'!$B$16</f>
        <v>15</v>
      </c>
      <c r="AI12" s="19">
        <f>'前提'!$B$16</f>
        <v>15</v>
      </c>
      <c r="AJ12" s="19">
        <f>'前提'!$B$16</f>
        <v>15</v>
      </c>
      <c r="AK12" s="19">
        <f>'前提'!$B$16</f>
        <v>15</v>
      </c>
      <c r="AL12" s="19">
        <f>'前提'!$B$17</f>
        <v>25</v>
      </c>
      <c r="AM12" s="19">
        <f>'前提'!$B$17</f>
        <v>25</v>
      </c>
      <c r="AN12" s="19">
        <f>'前提'!$B$17</f>
        <v>25</v>
      </c>
      <c r="AO12" s="19">
        <f>'前提'!$B$17</f>
        <v>25</v>
      </c>
      <c r="AP12" s="19">
        <f>'前提'!$B$17</f>
        <v>25</v>
      </c>
      <c r="AQ12" s="19">
        <f>'前提'!$B$17</f>
        <v>25</v>
      </c>
      <c r="AR12" s="19">
        <f>'前提'!$B$17</f>
        <v>25</v>
      </c>
      <c r="AS12" s="19">
        <f>'前提'!$B$17</f>
        <v>25</v>
      </c>
      <c r="AT12" s="19">
        <f>'前提'!$B$17</f>
        <v>25</v>
      </c>
      <c r="AU12" s="19">
        <f>'前提'!$B$17</f>
        <v>25</v>
      </c>
      <c r="AV12" s="19">
        <f>'前提'!$B$17</f>
        <v>25</v>
      </c>
      <c r="AW12" s="19">
        <f>'前提'!$B$17</f>
        <v>25</v>
      </c>
      <c r="AX12" s="19">
        <f>'前提'!$B$17</f>
        <v>25</v>
      </c>
      <c r="AY12" s="19">
        <f>'前提'!$B$17</f>
        <v>25</v>
      </c>
      <c r="AZ12" s="19">
        <f>'前提'!$B$17</f>
        <v>25</v>
      </c>
      <c r="BA12" s="19">
        <f>'前提'!$B$17</f>
        <v>25</v>
      </c>
      <c r="BB12" s="19">
        <f>'前提'!$B$17</f>
        <v>25</v>
      </c>
      <c r="BC12" s="19">
        <f>'前提'!$B$17</f>
        <v>25</v>
      </c>
      <c r="BD12" s="19">
        <f>'前提'!$B$17</f>
        <v>25</v>
      </c>
      <c r="BE12" s="19">
        <f>'前提'!$B$17</f>
        <v>25</v>
      </c>
      <c r="BF12" s="19">
        <f>'前提'!$B$17</f>
        <v>25</v>
      </c>
      <c r="BG12" s="19">
        <f>'前提'!$B$17</f>
        <v>25</v>
      </c>
      <c r="BH12" s="19">
        <f>'前提'!$B$17</f>
        <v>25</v>
      </c>
      <c r="BI12" s="19">
        <f>'前提'!$B$17</f>
        <v>25</v>
      </c>
    </row>
    <row r="13">
      <c r="A13" s="4" t="s">
        <v>185</v>
      </c>
      <c r="B13" s="20">
        <f>ROUNDDOWN(B14*'前提'!$B$8,0)</f>
        <v>0</v>
      </c>
      <c r="C13" s="20">
        <f>ROUNDDOWN(C14*'前提'!$B$8,0)</f>
        <v>0</v>
      </c>
      <c r="D13" s="20">
        <f>ROUNDDOWN(D14*'前提'!$B$8,0)</f>
        <v>0</v>
      </c>
      <c r="E13" s="20">
        <f>ROUNDDOWN(E14*'前提'!$B$8,0)</f>
        <v>0</v>
      </c>
      <c r="F13" s="20">
        <f>ROUNDDOWN(F14*'前提'!$B$8,0)</f>
        <v>0</v>
      </c>
      <c r="G13" s="20">
        <f>ROUNDDOWN(G14*'前提'!$B$8,0)</f>
        <v>0</v>
      </c>
      <c r="H13" s="20">
        <f>ROUNDDOWN(H14*'前提'!$B$8,0)</f>
        <v>0</v>
      </c>
      <c r="I13" s="20">
        <f>ROUNDDOWN(I14*'前提'!$B$8,0)</f>
        <v>0</v>
      </c>
      <c r="J13" s="20">
        <f>ROUNDDOWN(J14*'前提'!$B$8,0)</f>
        <v>0</v>
      </c>
      <c r="K13" s="20">
        <f>ROUNDDOWN(K14*'前提'!$B$8,0)</f>
        <v>0</v>
      </c>
      <c r="L13" s="20">
        <f>ROUNDDOWN(L14*'前提'!$B$8,0)</f>
        <v>0</v>
      </c>
      <c r="M13" s="20">
        <f>ROUNDDOWN(M14*'前提'!$B$8,0)</f>
        <v>0</v>
      </c>
      <c r="N13" s="20">
        <f>ROUNDDOWN(N14*'前提'!$B$8,0)</f>
        <v>0</v>
      </c>
      <c r="O13" s="20">
        <f>ROUNDDOWN(O14*'前提'!$B$8,0)</f>
        <v>1</v>
      </c>
      <c r="P13" s="20">
        <f>ROUNDDOWN(P14*'前提'!$B$8,0)</f>
        <v>1</v>
      </c>
      <c r="Q13" s="20">
        <f>ROUNDDOWN(Q14*'前提'!$B$8,0)</f>
        <v>1</v>
      </c>
      <c r="R13" s="20">
        <f>ROUNDDOWN(R14*'前提'!$B$8,0)</f>
        <v>1</v>
      </c>
      <c r="S13" s="20">
        <f>ROUNDDOWN(S14*'前提'!$B$8,0)</f>
        <v>2</v>
      </c>
      <c r="T13" s="20">
        <f>ROUNDDOWN(T14*'前提'!$B$8,0)</f>
        <v>2</v>
      </c>
      <c r="U13" s="20">
        <f>ROUNDDOWN(U14*'前提'!$B$8,0)</f>
        <v>2</v>
      </c>
      <c r="V13" s="20">
        <f>ROUNDDOWN(V14*'前提'!$B$8,0)</f>
        <v>2</v>
      </c>
      <c r="W13" s="20">
        <f>ROUNDDOWN(W14*'前提'!$B$8,0)</f>
        <v>3</v>
      </c>
      <c r="X13" s="20">
        <f>ROUNDDOWN(X14*'前提'!$B$8,0)</f>
        <v>3</v>
      </c>
      <c r="Y13" s="20">
        <f>ROUNDDOWN(Y14*'前提'!$B$8,0)</f>
        <v>4</v>
      </c>
      <c r="Z13" s="20">
        <f>ROUNDDOWN(Z14*'前提'!$B$8,0)</f>
        <v>4</v>
      </c>
      <c r="AA13" s="20">
        <f>ROUNDDOWN(AA14*'前提'!$B$8,0)</f>
        <v>4</v>
      </c>
      <c r="AB13" s="20">
        <f>ROUNDDOWN(AB14*'前提'!$B$8,0)</f>
        <v>5</v>
      </c>
      <c r="AC13" s="20">
        <f>ROUNDDOWN(AC14*'前提'!$B$8,0)</f>
        <v>5</v>
      </c>
      <c r="AD13" s="20">
        <f>ROUNDDOWN(AD14*'前提'!$B$8,0)</f>
        <v>5</v>
      </c>
      <c r="AE13" s="20">
        <f>ROUNDDOWN(AE14*'前提'!$B$8,0)</f>
        <v>5</v>
      </c>
      <c r="AF13" s="20">
        <f>ROUNDDOWN(AF14*'前提'!$B$8,0)</f>
        <v>6</v>
      </c>
      <c r="AG13" s="20">
        <f>ROUNDDOWN(AG14*'前提'!$B$8,0)</f>
        <v>6</v>
      </c>
      <c r="AH13" s="20">
        <f>ROUNDDOWN(AH14*'前提'!$B$8,0)</f>
        <v>6</v>
      </c>
      <c r="AI13" s="20">
        <f>ROUNDDOWN(AI14*'前提'!$B$8,0)</f>
        <v>7</v>
      </c>
      <c r="AJ13" s="20">
        <f>ROUNDDOWN(AJ14*'前提'!$B$8,0)</f>
        <v>7</v>
      </c>
      <c r="AK13" s="20">
        <f>ROUNDDOWN(AK14*'前提'!$B$8,0)</f>
        <v>7</v>
      </c>
      <c r="AL13" s="20">
        <f>ROUNDDOWN(AL14*'前提'!$B$8,0)</f>
        <v>7</v>
      </c>
      <c r="AM13" s="20">
        <f>ROUNDDOWN(AM14*'前提'!$B$8,0)</f>
        <v>8</v>
      </c>
      <c r="AN13" s="20">
        <f>ROUNDDOWN(AN14*'前提'!$B$8,0)</f>
        <v>8</v>
      </c>
      <c r="AO13" s="20">
        <f>ROUNDDOWN(AO14*'前提'!$B$8,0)</f>
        <v>9</v>
      </c>
      <c r="AP13" s="20">
        <f>ROUNDDOWN(AP14*'前提'!$B$8,0)</f>
        <v>9</v>
      </c>
      <c r="AQ13" s="20">
        <f>ROUNDDOWN(AQ14*'前提'!$B$8,0)</f>
        <v>10</v>
      </c>
      <c r="AR13" s="20">
        <f>ROUNDDOWN(AR14*'前提'!$B$8,0)</f>
        <v>10</v>
      </c>
      <c r="AS13" s="20">
        <f>ROUNDDOWN(AS14*'前提'!$B$8,0)</f>
        <v>11</v>
      </c>
      <c r="AT13" s="20">
        <f>ROUNDDOWN(AT14*'前提'!$B$8,0)</f>
        <v>11</v>
      </c>
      <c r="AU13" s="20">
        <f>ROUNDDOWN(AU14*'前提'!$B$8,0)</f>
        <v>12</v>
      </c>
      <c r="AV13" s="20">
        <f>ROUNDDOWN(AV14*'前提'!$B$8,0)</f>
        <v>12</v>
      </c>
      <c r="AW13" s="20">
        <f>ROUNDDOWN(AW14*'前提'!$B$8,0)</f>
        <v>12</v>
      </c>
      <c r="AX13" s="20">
        <f>ROUNDDOWN(AX14*'前提'!$B$8,0)</f>
        <v>13</v>
      </c>
      <c r="AY13" s="20">
        <f>ROUNDDOWN(AY14*'前提'!$B$8,0)</f>
        <v>13</v>
      </c>
      <c r="AZ13" s="20">
        <f>ROUNDDOWN(AZ14*'前提'!$B$8,0)</f>
        <v>13</v>
      </c>
      <c r="BA13" s="20">
        <f>ROUNDDOWN(BA14*'前提'!$B$8,0)</f>
        <v>14</v>
      </c>
      <c r="BB13" s="20">
        <f>ROUNDDOWN(BB14*'前提'!$B$8,0)</f>
        <v>14</v>
      </c>
      <c r="BC13" s="20">
        <f>ROUNDDOWN(BC14*'前提'!$B$8,0)</f>
        <v>14</v>
      </c>
      <c r="BD13" s="20">
        <f>ROUNDDOWN(BD14*'前提'!$B$8,0)</f>
        <v>15</v>
      </c>
      <c r="BE13" s="20">
        <f>ROUNDDOWN(BE14*'前提'!$B$8,0)</f>
        <v>15</v>
      </c>
      <c r="BF13" s="20">
        <f>ROUNDDOWN(BF14*'前提'!$B$8,0)</f>
        <v>15</v>
      </c>
      <c r="BG13" s="20">
        <f>ROUNDDOWN(BG14*'前提'!$B$8,0)</f>
        <v>16</v>
      </c>
      <c r="BH13" s="20">
        <f>ROUNDDOWN(BH14*'前提'!$B$8,0)</f>
        <v>16</v>
      </c>
      <c r="BI13" s="20">
        <f>ROUNDDOWN(BI14*'前提'!$B$8,0)</f>
        <v>16</v>
      </c>
    </row>
    <row r="14">
      <c r="A14" s="4" t="s">
        <v>186</v>
      </c>
      <c r="B14" s="22">
        <v>1.0</v>
      </c>
      <c r="C14" s="20">
        <f t="shared" ref="C14:BI14" si="1">B15</f>
        <v>3</v>
      </c>
      <c r="D14" s="20">
        <f t="shared" si="1"/>
        <v>5</v>
      </c>
      <c r="E14" s="20">
        <f t="shared" si="1"/>
        <v>7</v>
      </c>
      <c r="F14" s="20">
        <f t="shared" si="1"/>
        <v>9</v>
      </c>
      <c r="G14" s="20">
        <f t="shared" si="1"/>
        <v>11</v>
      </c>
      <c r="H14" s="20">
        <f t="shared" si="1"/>
        <v>13</v>
      </c>
      <c r="I14" s="20">
        <f t="shared" si="1"/>
        <v>16</v>
      </c>
      <c r="J14" s="20">
        <f t="shared" si="1"/>
        <v>19</v>
      </c>
      <c r="K14" s="20">
        <f t="shared" si="1"/>
        <v>22</v>
      </c>
      <c r="L14" s="20">
        <f t="shared" si="1"/>
        <v>25</v>
      </c>
      <c r="M14" s="20">
        <f t="shared" si="1"/>
        <v>28</v>
      </c>
      <c r="N14" s="20">
        <f t="shared" si="1"/>
        <v>31</v>
      </c>
      <c r="O14" s="20">
        <f t="shared" si="1"/>
        <v>39</v>
      </c>
      <c r="P14" s="20">
        <f t="shared" si="1"/>
        <v>46</v>
      </c>
      <c r="Q14" s="20">
        <f t="shared" si="1"/>
        <v>53</v>
      </c>
      <c r="R14" s="20">
        <f t="shared" si="1"/>
        <v>60</v>
      </c>
      <c r="S14" s="20">
        <f t="shared" si="1"/>
        <v>67</v>
      </c>
      <c r="T14" s="20">
        <f t="shared" si="1"/>
        <v>73</v>
      </c>
      <c r="U14" s="20">
        <f t="shared" si="1"/>
        <v>86</v>
      </c>
      <c r="V14" s="20">
        <f t="shared" si="1"/>
        <v>99</v>
      </c>
      <c r="W14" s="20">
        <f t="shared" si="1"/>
        <v>112</v>
      </c>
      <c r="X14" s="20">
        <f t="shared" si="1"/>
        <v>124</v>
      </c>
      <c r="Y14" s="20">
        <f t="shared" si="1"/>
        <v>136</v>
      </c>
      <c r="Z14" s="20">
        <f t="shared" si="1"/>
        <v>147</v>
      </c>
      <c r="AA14" s="20">
        <f t="shared" si="1"/>
        <v>158</v>
      </c>
      <c r="AB14" s="20">
        <f t="shared" si="1"/>
        <v>169</v>
      </c>
      <c r="AC14" s="20">
        <f t="shared" si="1"/>
        <v>179</v>
      </c>
      <c r="AD14" s="20">
        <f t="shared" si="1"/>
        <v>189</v>
      </c>
      <c r="AE14" s="20">
        <f t="shared" si="1"/>
        <v>199</v>
      </c>
      <c r="AF14" s="20">
        <f t="shared" si="1"/>
        <v>209</v>
      </c>
      <c r="AG14" s="20">
        <f t="shared" si="1"/>
        <v>218</v>
      </c>
      <c r="AH14" s="20">
        <f t="shared" si="1"/>
        <v>227</v>
      </c>
      <c r="AI14" s="20">
        <f t="shared" si="1"/>
        <v>236</v>
      </c>
      <c r="AJ14" s="20">
        <f t="shared" si="1"/>
        <v>244</v>
      </c>
      <c r="AK14" s="20">
        <f t="shared" si="1"/>
        <v>252</v>
      </c>
      <c r="AL14" s="20">
        <f t="shared" si="1"/>
        <v>260</v>
      </c>
      <c r="AM14" s="20">
        <f t="shared" si="1"/>
        <v>278</v>
      </c>
      <c r="AN14" s="20">
        <f t="shared" si="1"/>
        <v>295</v>
      </c>
      <c r="AO14" s="20">
        <f t="shared" si="1"/>
        <v>312</v>
      </c>
      <c r="AP14" s="20">
        <f t="shared" si="1"/>
        <v>328</v>
      </c>
      <c r="AQ14" s="20">
        <f t="shared" si="1"/>
        <v>344</v>
      </c>
      <c r="AR14" s="20">
        <f t="shared" si="1"/>
        <v>359</v>
      </c>
      <c r="AS14" s="20">
        <f t="shared" si="1"/>
        <v>374</v>
      </c>
      <c r="AT14" s="20">
        <f t="shared" si="1"/>
        <v>388</v>
      </c>
      <c r="AU14" s="20">
        <f t="shared" si="1"/>
        <v>402</v>
      </c>
      <c r="AV14" s="20">
        <f t="shared" si="1"/>
        <v>415</v>
      </c>
      <c r="AW14" s="20">
        <f t="shared" si="1"/>
        <v>428</v>
      </c>
      <c r="AX14" s="20">
        <f t="shared" si="1"/>
        <v>441</v>
      </c>
      <c r="AY14" s="20">
        <f t="shared" si="1"/>
        <v>453</v>
      </c>
      <c r="AZ14" s="20">
        <f t="shared" si="1"/>
        <v>465</v>
      </c>
      <c r="BA14" s="20">
        <f t="shared" si="1"/>
        <v>477</v>
      </c>
      <c r="BB14" s="20">
        <f t="shared" si="1"/>
        <v>488</v>
      </c>
      <c r="BC14" s="20">
        <f t="shared" si="1"/>
        <v>499</v>
      </c>
      <c r="BD14" s="20">
        <f t="shared" si="1"/>
        <v>510</v>
      </c>
      <c r="BE14" s="20">
        <f t="shared" si="1"/>
        <v>520</v>
      </c>
      <c r="BF14" s="20">
        <f t="shared" si="1"/>
        <v>530</v>
      </c>
      <c r="BG14" s="20">
        <f t="shared" si="1"/>
        <v>540</v>
      </c>
      <c r="BH14" s="20">
        <f t="shared" si="1"/>
        <v>549</v>
      </c>
      <c r="BI14" s="20">
        <f t="shared" si="1"/>
        <v>558</v>
      </c>
    </row>
    <row r="15">
      <c r="A15" s="4" t="s">
        <v>187</v>
      </c>
      <c r="B15" s="23">
        <f t="shared" ref="B15:BI15" si="2">B14+B12-B13</f>
        <v>3</v>
      </c>
      <c r="C15" s="23">
        <f t="shared" si="2"/>
        <v>5</v>
      </c>
      <c r="D15" s="23">
        <f t="shared" si="2"/>
        <v>7</v>
      </c>
      <c r="E15" s="23">
        <f t="shared" si="2"/>
        <v>9</v>
      </c>
      <c r="F15" s="23">
        <f t="shared" si="2"/>
        <v>11</v>
      </c>
      <c r="G15" s="23">
        <f t="shared" si="2"/>
        <v>13</v>
      </c>
      <c r="H15" s="23">
        <f t="shared" si="2"/>
        <v>16</v>
      </c>
      <c r="I15" s="23">
        <f t="shared" si="2"/>
        <v>19</v>
      </c>
      <c r="J15" s="23">
        <f t="shared" si="2"/>
        <v>22</v>
      </c>
      <c r="K15" s="23">
        <f t="shared" si="2"/>
        <v>25</v>
      </c>
      <c r="L15" s="23">
        <f t="shared" si="2"/>
        <v>28</v>
      </c>
      <c r="M15" s="23">
        <f t="shared" si="2"/>
        <v>31</v>
      </c>
      <c r="N15" s="23">
        <f t="shared" si="2"/>
        <v>39</v>
      </c>
      <c r="O15" s="23">
        <f t="shared" si="2"/>
        <v>46</v>
      </c>
      <c r="P15" s="23">
        <f t="shared" si="2"/>
        <v>53</v>
      </c>
      <c r="Q15" s="23">
        <f t="shared" si="2"/>
        <v>60</v>
      </c>
      <c r="R15" s="23">
        <f t="shared" si="2"/>
        <v>67</v>
      </c>
      <c r="S15" s="23">
        <f t="shared" si="2"/>
        <v>73</v>
      </c>
      <c r="T15" s="23">
        <f t="shared" si="2"/>
        <v>86</v>
      </c>
      <c r="U15" s="23">
        <f t="shared" si="2"/>
        <v>99</v>
      </c>
      <c r="V15" s="23">
        <f t="shared" si="2"/>
        <v>112</v>
      </c>
      <c r="W15" s="23">
        <f t="shared" si="2"/>
        <v>124</v>
      </c>
      <c r="X15" s="23">
        <f t="shared" si="2"/>
        <v>136</v>
      </c>
      <c r="Y15" s="23">
        <f t="shared" si="2"/>
        <v>147</v>
      </c>
      <c r="Z15" s="23">
        <f t="shared" si="2"/>
        <v>158</v>
      </c>
      <c r="AA15" s="23">
        <f t="shared" si="2"/>
        <v>169</v>
      </c>
      <c r="AB15" s="23">
        <f t="shared" si="2"/>
        <v>179</v>
      </c>
      <c r="AC15" s="23">
        <f t="shared" si="2"/>
        <v>189</v>
      </c>
      <c r="AD15" s="23">
        <f t="shared" si="2"/>
        <v>199</v>
      </c>
      <c r="AE15" s="23">
        <f t="shared" si="2"/>
        <v>209</v>
      </c>
      <c r="AF15" s="23">
        <f t="shared" si="2"/>
        <v>218</v>
      </c>
      <c r="AG15" s="23">
        <f t="shared" si="2"/>
        <v>227</v>
      </c>
      <c r="AH15" s="23">
        <f t="shared" si="2"/>
        <v>236</v>
      </c>
      <c r="AI15" s="23">
        <f t="shared" si="2"/>
        <v>244</v>
      </c>
      <c r="AJ15" s="23">
        <f t="shared" si="2"/>
        <v>252</v>
      </c>
      <c r="AK15" s="23">
        <f t="shared" si="2"/>
        <v>260</v>
      </c>
      <c r="AL15" s="23">
        <f t="shared" si="2"/>
        <v>278</v>
      </c>
      <c r="AM15" s="23">
        <f t="shared" si="2"/>
        <v>295</v>
      </c>
      <c r="AN15" s="23">
        <f t="shared" si="2"/>
        <v>312</v>
      </c>
      <c r="AO15" s="23">
        <f t="shared" si="2"/>
        <v>328</v>
      </c>
      <c r="AP15" s="23">
        <f t="shared" si="2"/>
        <v>344</v>
      </c>
      <c r="AQ15" s="23">
        <f t="shared" si="2"/>
        <v>359</v>
      </c>
      <c r="AR15" s="23">
        <f t="shared" si="2"/>
        <v>374</v>
      </c>
      <c r="AS15" s="23">
        <f t="shared" si="2"/>
        <v>388</v>
      </c>
      <c r="AT15" s="23">
        <f t="shared" si="2"/>
        <v>402</v>
      </c>
      <c r="AU15" s="23">
        <f t="shared" si="2"/>
        <v>415</v>
      </c>
      <c r="AV15" s="23">
        <f t="shared" si="2"/>
        <v>428</v>
      </c>
      <c r="AW15" s="23">
        <f t="shared" si="2"/>
        <v>441</v>
      </c>
      <c r="AX15" s="23">
        <f t="shared" si="2"/>
        <v>453</v>
      </c>
      <c r="AY15" s="23">
        <f t="shared" si="2"/>
        <v>465</v>
      </c>
      <c r="AZ15" s="23">
        <f t="shared" si="2"/>
        <v>477</v>
      </c>
      <c r="BA15" s="23">
        <f t="shared" si="2"/>
        <v>488</v>
      </c>
      <c r="BB15" s="23">
        <f t="shared" si="2"/>
        <v>499</v>
      </c>
      <c r="BC15" s="23">
        <f t="shared" si="2"/>
        <v>510</v>
      </c>
      <c r="BD15" s="23">
        <f t="shared" si="2"/>
        <v>520</v>
      </c>
      <c r="BE15" s="23">
        <f t="shared" si="2"/>
        <v>530</v>
      </c>
      <c r="BF15" s="23">
        <f t="shared" si="2"/>
        <v>540</v>
      </c>
      <c r="BG15" s="23">
        <f t="shared" si="2"/>
        <v>549</v>
      </c>
      <c r="BH15" s="23">
        <f t="shared" si="2"/>
        <v>558</v>
      </c>
      <c r="BI15" s="23">
        <f t="shared" si="2"/>
        <v>567</v>
      </c>
    </row>
    <row r="16">
      <c r="A16" s="4" t="s">
        <v>188</v>
      </c>
      <c r="B16" s="20">
        <f>B15</f>
        <v>3</v>
      </c>
      <c r="C16" s="20">
        <f>MAX(0,B16+C12-ROUNDDOWN(B16*'前提'!$B$8,0)-ROUNDDOWN(B16*'前提'!$B$9,0))</f>
        <v>5</v>
      </c>
      <c r="D16" s="20">
        <f>MAX(0,C16+D12-ROUNDDOWN(C16*'前提'!$B$8,0)-ROUNDDOWN(C16*'前提'!$B$9,0))</f>
        <v>7</v>
      </c>
      <c r="E16" s="20">
        <f>MAX(0,D16+E12-ROUNDDOWN(D16*'前提'!$B$8,0)-ROUNDDOWN(D16*'前提'!$B$9,0))</f>
        <v>8</v>
      </c>
      <c r="F16" s="20">
        <f>MAX(0,E16+F12-ROUNDDOWN(E16*'前提'!$B$8,0)-ROUNDDOWN(E16*'前提'!$B$9,0))</f>
        <v>9</v>
      </c>
      <c r="G16" s="20">
        <f>MAX(0,F16+G12-ROUNDDOWN(F16*'前提'!$B$8,0)-ROUNDDOWN(F16*'前提'!$B$9,0))</f>
        <v>10</v>
      </c>
      <c r="H16" s="20">
        <f>MAX(0,G16+H12-ROUNDDOWN(G16*'前提'!$B$8,0)-ROUNDDOWN(G16*'前提'!$B$9,0))</f>
        <v>12</v>
      </c>
      <c r="I16" s="20">
        <f>MAX(0,H16+I12-ROUNDDOWN(H16*'前提'!$B$8,0)-ROUNDDOWN(H16*'前提'!$B$9,0))</f>
        <v>14</v>
      </c>
      <c r="J16" s="20">
        <f>MAX(0,I16+J12-ROUNDDOWN(I16*'前提'!$B$8,0)-ROUNDDOWN(I16*'前提'!$B$9,0))</f>
        <v>15</v>
      </c>
      <c r="K16" s="20">
        <f>MAX(0,J16+K12-ROUNDDOWN(J16*'前提'!$B$8,0)-ROUNDDOWN(J16*'前提'!$B$9,0))</f>
        <v>16</v>
      </c>
      <c r="L16" s="20">
        <f>MAX(0,K16+L12-ROUNDDOWN(K16*'前提'!$B$8,0)-ROUNDDOWN(K16*'前提'!$B$9,0))</f>
        <v>17</v>
      </c>
      <c r="M16" s="20">
        <f>MAX(0,L16+M12-ROUNDDOWN(L16*'前提'!$B$8,0)-ROUNDDOWN(L16*'前提'!$B$9,0))</f>
        <v>18</v>
      </c>
      <c r="N16" s="20">
        <f>MAX(0,M16+N12-ROUNDDOWN(M16*'前提'!$B$8,0)-ROUNDDOWN(M16*'前提'!$B$9,0))</f>
        <v>24</v>
      </c>
      <c r="O16" s="20">
        <f>MAX(0,N16+O12-ROUNDDOWN(N16*'前提'!$B$8,0)-ROUNDDOWN(N16*'前提'!$B$9,0))</f>
        <v>29</v>
      </c>
      <c r="P16" s="20">
        <f>MAX(0,O16+P12-ROUNDDOWN(O16*'前提'!$B$8,0)-ROUNDDOWN(O16*'前提'!$B$9,0))</f>
        <v>33</v>
      </c>
      <c r="Q16" s="20">
        <f>MAX(0,P16+Q12-ROUNDDOWN(P16*'前提'!$B$8,0)-ROUNDDOWN(P16*'前提'!$B$9,0))</f>
        <v>37</v>
      </c>
      <c r="R16" s="20">
        <f>MAX(0,Q16+R12-ROUNDDOWN(Q16*'前提'!$B$8,0)-ROUNDDOWN(Q16*'前提'!$B$9,0))</f>
        <v>39</v>
      </c>
      <c r="S16" s="20">
        <f>MAX(0,R16+S12-ROUNDDOWN(R16*'前提'!$B$8,0)-ROUNDDOWN(R16*'前提'!$B$9,0))</f>
        <v>41</v>
      </c>
      <c r="T16" s="20">
        <f>MAX(0,S16+T12-ROUNDDOWN(S16*'前提'!$B$8,0)-ROUNDDOWN(S16*'前提'!$B$9,0))</f>
        <v>49</v>
      </c>
      <c r="U16" s="20">
        <f>MAX(0,T16+U12-ROUNDDOWN(T16*'前提'!$B$8,0)-ROUNDDOWN(T16*'前提'!$B$9,0))</f>
        <v>56</v>
      </c>
      <c r="V16" s="20">
        <f>MAX(0,U16+V12-ROUNDDOWN(U16*'前提'!$B$8,0)-ROUNDDOWN(U16*'前提'!$B$9,0))</f>
        <v>62</v>
      </c>
      <c r="W16" s="20">
        <f>MAX(0,V16+W12-ROUNDDOWN(V16*'前提'!$B$8,0)-ROUNDDOWN(V16*'前提'!$B$9,0))</f>
        <v>67</v>
      </c>
      <c r="X16" s="20">
        <f>MAX(0,W16+X12-ROUNDDOWN(W16*'前提'!$B$8,0)-ROUNDDOWN(W16*'前提'!$B$9,0))</f>
        <v>70</v>
      </c>
      <c r="Y16" s="20">
        <f>MAX(0,X16+Y12-ROUNDDOWN(X16*'前提'!$B$8,0)-ROUNDDOWN(X16*'前提'!$B$9,0))</f>
        <v>73</v>
      </c>
      <c r="Z16" s="20">
        <f>MAX(0,Y16+Z12-ROUNDDOWN(Y16*'前提'!$B$8,0)-ROUNDDOWN(Y16*'前提'!$B$9,0))</f>
        <v>76</v>
      </c>
      <c r="AA16" s="20">
        <f>MAX(0,Z16+AA12-ROUNDDOWN(Z16*'前提'!$B$8,0)-ROUNDDOWN(Z16*'前提'!$B$9,0))</f>
        <v>78</v>
      </c>
      <c r="AB16" s="20">
        <f>MAX(0,AA16+AB12-ROUNDDOWN(AA16*'前提'!$B$8,0)-ROUNDDOWN(AA16*'前提'!$B$9,0))</f>
        <v>80</v>
      </c>
      <c r="AC16" s="20">
        <f>MAX(0,AB16+AC12-ROUNDDOWN(AB16*'前提'!$B$8,0)-ROUNDDOWN(AB16*'前提'!$B$9,0))</f>
        <v>81</v>
      </c>
      <c r="AD16" s="20">
        <f>MAX(0,AC16+AD12-ROUNDDOWN(AC16*'前提'!$B$8,0)-ROUNDDOWN(AC16*'前提'!$B$9,0))</f>
        <v>82</v>
      </c>
      <c r="AE16" s="20">
        <f>MAX(0,AD16+AE12-ROUNDDOWN(AD16*'前提'!$B$8,0)-ROUNDDOWN(AD16*'前提'!$B$9,0))</f>
        <v>83</v>
      </c>
      <c r="AF16" s="20">
        <f>MAX(0,AE16+AF12-ROUNDDOWN(AE16*'前提'!$B$8,0)-ROUNDDOWN(AE16*'前提'!$B$9,0))</f>
        <v>84</v>
      </c>
      <c r="AG16" s="20">
        <f>MAX(0,AF16+AG12-ROUNDDOWN(AF16*'前提'!$B$8,0)-ROUNDDOWN(AF16*'前提'!$B$9,0))</f>
        <v>85</v>
      </c>
      <c r="AH16" s="20">
        <f>MAX(0,AG16+AH12-ROUNDDOWN(AG16*'前提'!$B$8,0)-ROUNDDOWN(AG16*'前提'!$B$9,0))</f>
        <v>86</v>
      </c>
      <c r="AI16" s="20">
        <f>MAX(0,AH16+AI12-ROUNDDOWN(AH16*'前提'!$B$8,0)-ROUNDDOWN(AH16*'前提'!$B$9,0))</f>
        <v>87</v>
      </c>
      <c r="AJ16" s="20">
        <f>MAX(0,AI16+AJ12-ROUNDDOWN(AI16*'前提'!$B$8,0)-ROUNDDOWN(AI16*'前提'!$B$9,0))</f>
        <v>87</v>
      </c>
      <c r="AK16" s="20">
        <f>MAX(0,AJ16+AK12-ROUNDDOWN(AJ16*'前提'!$B$8,0)-ROUNDDOWN(AJ16*'前提'!$B$9,0))</f>
        <v>87</v>
      </c>
      <c r="AL16" s="20">
        <f>MAX(0,AK16+AL12-ROUNDDOWN(AK16*'前提'!$B$8,0)-ROUNDDOWN(AK16*'前提'!$B$9,0))</f>
        <v>97</v>
      </c>
      <c r="AM16" s="20">
        <f>MAX(0,AL16+AM12-ROUNDDOWN(AL16*'前提'!$B$8,0)-ROUNDDOWN(AL16*'前提'!$B$9,0))</f>
        <v>106</v>
      </c>
      <c r="AN16" s="20">
        <f>MAX(0,AM16+AN12-ROUNDDOWN(AM16*'前提'!$B$8,0)-ROUNDDOWN(AM16*'前提'!$B$9,0))</f>
        <v>113</v>
      </c>
      <c r="AO16" s="20">
        <f>MAX(0,AN16+AO12-ROUNDDOWN(AN16*'前提'!$B$8,0)-ROUNDDOWN(AN16*'前提'!$B$9,0))</f>
        <v>119</v>
      </c>
      <c r="AP16" s="20">
        <f>MAX(0,AO16+AP12-ROUNDDOWN(AO16*'前提'!$B$8,0)-ROUNDDOWN(AO16*'前提'!$B$9,0))</f>
        <v>124</v>
      </c>
      <c r="AQ16" s="20">
        <f>MAX(0,AP16+AQ12-ROUNDDOWN(AP16*'前提'!$B$8,0)-ROUNDDOWN(AP16*'前提'!$B$9,0))</f>
        <v>128</v>
      </c>
      <c r="AR16" s="20">
        <f>MAX(0,AQ16+AR12-ROUNDDOWN(AQ16*'前提'!$B$8,0)-ROUNDDOWN(AQ16*'前提'!$B$9,0))</f>
        <v>131</v>
      </c>
      <c r="AS16" s="20">
        <f>MAX(0,AR16+AS12-ROUNDDOWN(AR16*'前提'!$B$8,0)-ROUNDDOWN(AR16*'前提'!$B$9,0))</f>
        <v>134</v>
      </c>
      <c r="AT16" s="20">
        <f>MAX(0,AS16+AT12-ROUNDDOWN(AS16*'前提'!$B$8,0)-ROUNDDOWN(AS16*'前提'!$B$9,0))</f>
        <v>135</v>
      </c>
      <c r="AU16" s="20">
        <f>MAX(0,AT16+AU12-ROUNDDOWN(AT16*'前提'!$B$8,0)-ROUNDDOWN(AT16*'前提'!$B$9,0))</f>
        <v>136</v>
      </c>
      <c r="AV16" s="20">
        <f>MAX(0,AU16+AV12-ROUNDDOWN(AU16*'前提'!$B$8,0)-ROUNDDOWN(AU16*'前提'!$B$9,0))</f>
        <v>137</v>
      </c>
      <c r="AW16" s="20">
        <f>MAX(0,AV16+AW12-ROUNDDOWN(AV16*'前提'!$B$8,0)-ROUNDDOWN(AV16*'前提'!$B$9,0))</f>
        <v>138</v>
      </c>
      <c r="AX16" s="20">
        <f>MAX(0,AW16+AX12-ROUNDDOWN(AW16*'前提'!$B$8,0)-ROUNDDOWN(AW16*'前提'!$B$9,0))</f>
        <v>139</v>
      </c>
      <c r="AY16" s="20">
        <f>MAX(0,AX16+AY12-ROUNDDOWN(AX16*'前提'!$B$8,0)-ROUNDDOWN(AX16*'前提'!$B$9,0))</f>
        <v>140</v>
      </c>
      <c r="AZ16" s="20">
        <f>MAX(0,AY16+AZ12-ROUNDDOWN(AY16*'前提'!$B$8,0)-ROUNDDOWN(AY16*'前提'!$B$9,0))</f>
        <v>140</v>
      </c>
      <c r="BA16" s="20">
        <f>MAX(0,AZ16+BA12-ROUNDDOWN(AZ16*'前提'!$B$8,0)-ROUNDDOWN(AZ16*'前提'!$B$9,0))</f>
        <v>140</v>
      </c>
      <c r="BB16" s="20">
        <f>MAX(0,BA16+BB12-ROUNDDOWN(BA16*'前提'!$B$8,0)-ROUNDDOWN(BA16*'前提'!$B$9,0))</f>
        <v>140</v>
      </c>
      <c r="BC16" s="20">
        <f>MAX(0,BB16+BC12-ROUNDDOWN(BB16*'前提'!$B$8,0)-ROUNDDOWN(BB16*'前提'!$B$9,0))</f>
        <v>140</v>
      </c>
      <c r="BD16" s="20">
        <f>MAX(0,BC16+BD12-ROUNDDOWN(BC16*'前提'!$B$8,0)-ROUNDDOWN(BC16*'前提'!$B$9,0))</f>
        <v>140</v>
      </c>
      <c r="BE16" s="20">
        <f>MAX(0,BD16+BE12-ROUNDDOWN(BD16*'前提'!$B$8,0)-ROUNDDOWN(BD16*'前提'!$B$9,0))</f>
        <v>140</v>
      </c>
      <c r="BF16" s="20">
        <f>MAX(0,BE16+BF12-ROUNDDOWN(BE16*'前提'!$B$8,0)-ROUNDDOWN(BE16*'前提'!$B$9,0))</f>
        <v>140</v>
      </c>
      <c r="BG16" s="20">
        <f>MAX(0,BF16+BG12-ROUNDDOWN(BF16*'前提'!$B$8,0)-ROUNDDOWN(BF16*'前提'!$B$9,0))</f>
        <v>140</v>
      </c>
      <c r="BH16" s="20">
        <f>MAX(0,BG16+BH12-ROUNDDOWN(BG16*'前提'!$B$8,0)-ROUNDDOWN(BG16*'前提'!$B$9,0))</f>
        <v>140</v>
      </c>
      <c r="BI16" s="20">
        <f>MAX(0,BH16+BI12-ROUNDDOWN(BH16*'前提'!$B$8,0)-ROUNDDOWN(BH16*'前提'!$B$9,0))</f>
        <v>140</v>
      </c>
    </row>
    <row r="17">
      <c r="A17" s="4" t="s">
        <v>189</v>
      </c>
      <c r="B17" s="20">
        <v>0.0</v>
      </c>
      <c r="C17" s="20">
        <f>MAX(0,B17+ROUNDDOWN(B16*'前提'!$B$9,0)-ROUNDDOWN(B17*'前提'!$B$8,0)-ROUNDDOWN(B17*'前提'!$B$10,0))</f>
        <v>0</v>
      </c>
      <c r="D17" s="20">
        <f>MAX(0,C17+ROUNDDOWN(C16*'前提'!$B$9,0)-ROUNDDOWN(C17*'前提'!$B$8,0)-ROUNDDOWN(C17*'前提'!$B$10,0))</f>
        <v>0</v>
      </c>
      <c r="E17" s="20">
        <f>MAX(0,D17+ROUNDDOWN(D16*'前提'!$B$9,0)-ROUNDDOWN(D17*'前提'!$B$8,0)-ROUNDDOWN(D17*'前提'!$B$10,0))</f>
        <v>1</v>
      </c>
      <c r="F17" s="20">
        <f>MAX(0,E17+ROUNDDOWN(E16*'前提'!$B$9,0)-ROUNDDOWN(E17*'前提'!$B$8,0)-ROUNDDOWN(E17*'前提'!$B$10,0))</f>
        <v>2</v>
      </c>
      <c r="G17" s="20">
        <f>MAX(0,F17+ROUNDDOWN(F16*'前提'!$B$9,0)-ROUNDDOWN(F17*'前提'!$B$8,0)-ROUNDDOWN(F17*'前提'!$B$10,0))</f>
        <v>3</v>
      </c>
      <c r="H17" s="20">
        <f>MAX(0,G17+ROUNDDOWN(G16*'前提'!$B$9,0)-ROUNDDOWN(G17*'前提'!$B$8,0)-ROUNDDOWN(G17*'前提'!$B$10,0))</f>
        <v>4</v>
      </c>
      <c r="I17" s="20">
        <f>MAX(0,H17+ROUNDDOWN(H16*'前提'!$B$9,0)-ROUNDDOWN(H17*'前提'!$B$8,0)-ROUNDDOWN(H17*'前提'!$B$10,0))</f>
        <v>5</v>
      </c>
      <c r="J17" s="20">
        <f>MAX(0,I17+ROUNDDOWN(I16*'前提'!$B$9,0)-ROUNDDOWN(I17*'前提'!$B$8,0)-ROUNDDOWN(I17*'前提'!$B$10,0))</f>
        <v>7</v>
      </c>
      <c r="K17" s="20">
        <f>MAX(0,J17+ROUNDDOWN(J16*'前提'!$B$9,0)-ROUNDDOWN(J17*'前提'!$B$8,0)-ROUNDDOWN(J17*'前提'!$B$10,0))</f>
        <v>9</v>
      </c>
      <c r="L17" s="20">
        <f>MAX(0,K17+ROUNDDOWN(K16*'前提'!$B$9,0)-ROUNDDOWN(K17*'前提'!$B$8,0)-ROUNDDOWN(K17*'前提'!$B$10,0))</f>
        <v>11</v>
      </c>
      <c r="M17" s="20">
        <f>MAX(0,L17+ROUNDDOWN(L16*'前提'!$B$9,0)-ROUNDDOWN(L17*'前提'!$B$8,0)-ROUNDDOWN(L17*'前提'!$B$10,0))</f>
        <v>13</v>
      </c>
      <c r="N17" s="20">
        <f>MAX(0,M17+ROUNDDOWN(M16*'前提'!$B$9,0)-ROUNDDOWN(M17*'前提'!$B$8,0)-ROUNDDOWN(M17*'前提'!$B$10,0))</f>
        <v>15</v>
      </c>
      <c r="O17" s="20">
        <f>MAX(0,N17+ROUNDDOWN(N16*'前提'!$B$9,0)-ROUNDDOWN(N17*'前提'!$B$8,0)-ROUNDDOWN(N17*'前提'!$B$10,0))</f>
        <v>18</v>
      </c>
      <c r="P17" s="20">
        <f>MAX(0,O17+ROUNDDOWN(O16*'前提'!$B$9,0)-ROUNDDOWN(O17*'前提'!$B$8,0)-ROUNDDOWN(O17*'前提'!$B$10,0))</f>
        <v>22</v>
      </c>
      <c r="Q17" s="20">
        <f>MAX(0,P17+ROUNDDOWN(P16*'前提'!$B$9,0)-ROUNDDOWN(P17*'前提'!$B$8,0)-ROUNDDOWN(P17*'前提'!$B$10,0))</f>
        <v>25</v>
      </c>
      <c r="R17" s="20">
        <f>MAX(0,Q17+ROUNDDOWN(Q16*'前提'!$B$9,0)-ROUNDDOWN(Q17*'前提'!$B$8,0)-ROUNDDOWN(Q17*'前提'!$B$10,0))</f>
        <v>29</v>
      </c>
      <c r="S17" s="20">
        <f>MAX(0,R17+ROUNDDOWN(R16*'前提'!$B$9,0)-ROUNDDOWN(R17*'前提'!$B$8,0)-ROUNDDOWN(R17*'前提'!$B$10,0))</f>
        <v>33</v>
      </c>
      <c r="T17" s="20">
        <f>MAX(0,S17+ROUNDDOWN(S16*'前提'!$B$9,0)-ROUNDDOWN(S17*'前提'!$B$8,0)-ROUNDDOWN(S17*'前提'!$B$10,0))</f>
        <v>38</v>
      </c>
      <c r="U17" s="20">
        <f>MAX(0,T17+ROUNDDOWN(T16*'前提'!$B$9,0)-ROUNDDOWN(T17*'前提'!$B$8,0)-ROUNDDOWN(T17*'前提'!$B$10,0))</f>
        <v>43</v>
      </c>
      <c r="V17" s="20">
        <f>MAX(0,U17+ROUNDDOWN(U16*'前提'!$B$9,0)-ROUNDDOWN(U17*'前提'!$B$8,0)-ROUNDDOWN(U17*'前提'!$B$10,0))</f>
        <v>48</v>
      </c>
      <c r="W17" s="20">
        <f>MAX(0,V17+ROUNDDOWN(V16*'前提'!$B$9,0)-ROUNDDOWN(V17*'前提'!$B$8,0)-ROUNDDOWN(V17*'前提'!$B$10,0))</f>
        <v>54</v>
      </c>
      <c r="X17" s="20">
        <f>MAX(0,W17+ROUNDDOWN(W16*'前提'!$B$9,0)-ROUNDDOWN(W17*'前提'!$B$8,0)-ROUNDDOWN(W17*'前提'!$B$10,0))</f>
        <v>61</v>
      </c>
      <c r="Y17" s="20">
        <f>MAX(0,X17+ROUNDDOWN(X16*'前提'!$B$9,0)-ROUNDDOWN(X17*'前提'!$B$8,0)-ROUNDDOWN(X17*'前提'!$B$10,0))</f>
        <v>67</v>
      </c>
      <c r="Z17" s="20">
        <f>MAX(0,Y17+ROUNDDOWN(Y16*'前提'!$B$9,0)-ROUNDDOWN(Y17*'前提'!$B$8,0)-ROUNDDOWN(Y17*'前提'!$B$10,0))</f>
        <v>72</v>
      </c>
      <c r="AA17" s="20">
        <f>MAX(0,Z17+ROUNDDOWN(Z16*'前提'!$B$9,0)-ROUNDDOWN(Z17*'前提'!$B$8,0)-ROUNDDOWN(Z17*'前提'!$B$10,0))</f>
        <v>78</v>
      </c>
      <c r="AB17" s="20">
        <f>MAX(0,AA17+ROUNDDOWN(AA16*'前提'!$B$9,0)-ROUNDDOWN(AA17*'前提'!$B$8,0)-ROUNDDOWN(AA17*'前提'!$B$10,0))</f>
        <v>84</v>
      </c>
      <c r="AC17" s="20">
        <f>MAX(0,AB17+ROUNDDOWN(AB16*'前提'!$B$9,0)-ROUNDDOWN(AB17*'前提'!$B$8,0)-ROUNDDOWN(AB17*'前提'!$B$10,0))</f>
        <v>90</v>
      </c>
      <c r="AD17" s="20">
        <f>MAX(0,AC17+ROUNDDOWN(AC16*'前提'!$B$9,0)-ROUNDDOWN(AC17*'前提'!$B$8,0)-ROUNDDOWN(AC17*'前提'!$B$10,0))</f>
        <v>96</v>
      </c>
      <c r="AE17" s="20">
        <f>MAX(0,AD17+ROUNDDOWN(AD16*'前提'!$B$9,0)-ROUNDDOWN(AD17*'前提'!$B$8,0)-ROUNDDOWN(AD17*'前提'!$B$10,0))</f>
        <v>102</v>
      </c>
      <c r="AF17" s="20">
        <f>MAX(0,AE17+ROUNDDOWN(AE16*'前提'!$B$9,0)-ROUNDDOWN(AE17*'前提'!$B$8,0)-ROUNDDOWN(AE17*'前提'!$B$10,0))</f>
        <v>106</v>
      </c>
      <c r="AG17" s="20">
        <f>MAX(0,AF17+ROUNDDOWN(AF16*'前提'!$B$9,0)-ROUNDDOWN(AF17*'前提'!$B$8,0)-ROUNDDOWN(AF17*'前提'!$B$10,0))</f>
        <v>110</v>
      </c>
      <c r="AH17" s="20">
        <f>MAX(0,AG17+ROUNDDOWN(AG16*'前提'!$B$9,0)-ROUNDDOWN(AG17*'前提'!$B$8,0)-ROUNDDOWN(AG17*'前提'!$B$10,0))</f>
        <v>114</v>
      </c>
      <c r="AI17" s="20">
        <f>MAX(0,AH17+ROUNDDOWN(AH16*'前提'!$B$9,0)-ROUNDDOWN(AH17*'前提'!$B$8,0)-ROUNDDOWN(AH17*'前提'!$B$10,0))</f>
        <v>118</v>
      </c>
      <c r="AJ17" s="20">
        <f>MAX(0,AI17+ROUNDDOWN(AI16*'前提'!$B$9,0)-ROUNDDOWN(AI17*'前提'!$B$8,0)-ROUNDDOWN(AI17*'前提'!$B$10,0))</f>
        <v>123</v>
      </c>
      <c r="AK17" s="20">
        <f>MAX(0,AJ17+ROUNDDOWN(AJ16*'前提'!$B$9,0)-ROUNDDOWN(AJ17*'前提'!$B$8,0)-ROUNDDOWN(AJ17*'前提'!$B$10,0))</f>
        <v>127</v>
      </c>
      <c r="AL17" s="20">
        <f>MAX(0,AK17+ROUNDDOWN(AK16*'前提'!$B$9,0)-ROUNDDOWN(AK17*'前提'!$B$8,0)-ROUNDDOWN(AK17*'前提'!$B$10,0))</f>
        <v>131</v>
      </c>
      <c r="AM17" s="20">
        <f>MAX(0,AL17+ROUNDDOWN(AL16*'前提'!$B$9,0)-ROUNDDOWN(AL17*'前提'!$B$8,0)-ROUNDDOWN(AL17*'前提'!$B$10,0))</f>
        <v>136</v>
      </c>
      <c r="AN17" s="20">
        <f>MAX(0,AM17+ROUNDDOWN(AM16*'前提'!$B$9,0)-ROUNDDOWN(AM17*'前提'!$B$8,0)-ROUNDDOWN(AM17*'前提'!$B$10,0))</f>
        <v>141</v>
      </c>
      <c r="AO17" s="20">
        <f>MAX(0,AN17+ROUNDDOWN(AN16*'前提'!$B$9,0)-ROUNDDOWN(AN17*'前提'!$B$8,0)-ROUNDDOWN(AN17*'前提'!$B$10,0))</f>
        <v>146</v>
      </c>
      <c r="AP17" s="20">
        <f>MAX(0,AO17+ROUNDDOWN(AO16*'前提'!$B$9,0)-ROUNDDOWN(AO17*'前提'!$B$8,0)-ROUNDDOWN(AO17*'前提'!$B$10,0))</f>
        <v>152</v>
      </c>
      <c r="AQ17" s="20">
        <f>MAX(0,AP17+ROUNDDOWN(AP16*'前提'!$B$9,0)-ROUNDDOWN(AP17*'前提'!$B$8,0)-ROUNDDOWN(AP17*'前提'!$B$10,0))</f>
        <v>159</v>
      </c>
      <c r="AR17" s="20">
        <f>MAX(0,AQ17+ROUNDDOWN(AQ16*'前提'!$B$9,0)-ROUNDDOWN(AQ17*'前提'!$B$8,0)-ROUNDDOWN(AQ17*'前提'!$B$10,0))</f>
        <v>167</v>
      </c>
      <c r="AS17" s="20">
        <f>MAX(0,AR17+ROUNDDOWN(AR16*'前提'!$B$9,0)-ROUNDDOWN(AR17*'前提'!$B$8,0)-ROUNDDOWN(AR17*'前提'!$B$10,0))</f>
        <v>173</v>
      </c>
      <c r="AT17" s="20">
        <f>MAX(0,AS17+ROUNDDOWN(AS16*'前提'!$B$9,0)-ROUNDDOWN(AS17*'前提'!$B$8,0)-ROUNDDOWN(AS17*'前提'!$B$10,0))</f>
        <v>180</v>
      </c>
      <c r="AU17" s="20">
        <f>MAX(0,AT17+ROUNDDOWN(AT16*'前提'!$B$9,0)-ROUNDDOWN(AT17*'前提'!$B$8,0)-ROUNDDOWN(AT17*'前提'!$B$10,0))</f>
        <v>186</v>
      </c>
      <c r="AV17" s="20">
        <f>MAX(0,AU17+ROUNDDOWN(AU16*'前提'!$B$9,0)-ROUNDDOWN(AU17*'前提'!$B$8,0)-ROUNDDOWN(AU17*'前提'!$B$10,0))</f>
        <v>192</v>
      </c>
      <c r="AW17" s="20">
        <f>MAX(0,AV17+ROUNDDOWN(AV16*'前提'!$B$9,0)-ROUNDDOWN(AV17*'前提'!$B$8,0)-ROUNDDOWN(AV17*'前提'!$B$10,0))</f>
        <v>198</v>
      </c>
      <c r="AX17" s="20">
        <f>MAX(0,AW17+ROUNDDOWN(AW16*'前提'!$B$9,0)-ROUNDDOWN(AW17*'前提'!$B$8,0)-ROUNDDOWN(AW17*'前提'!$B$10,0))</f>
        <v>204</v>
      </c>
      <c r="AY17" s="20">
        <f>MAX(0,AX17+ROUNDDOWN(AX16*'前提'!$B$9,0)-ROUNDDOWN(AX17*'前提'!$B$8,0)-ROUNDDOWN(AX17*'前提'!$B$10,0))</f>
        <v>208</v>
      </c>
      <c r="AZ17" s="20">
        <f>MAX(0,AY17+ROUNDDOWN(AY16*'前提'!$B$9,0)-ROUNDDOWN(AY17*'前提'!$B$8,0)-ROUNDDOWN(AY17*'前提'!$B$10,0))</f>
        <v>213</v>
      </c>
      <c r="BA17" s="20">
        <f>MAX(0,AZ17+ROUNDDOWN(AZ16*'前提'!$B$9,0)-ROUNDDOWN(AZ17*'前提'!$B$8,0)-ROUNDDOWN(AZ17*'前提'!$B$10,0))</f>
        <v>218</v>
      </c>
      <c r="BB17" s="20">
        <f>MAX(0,BA17+ROUNDDOWN(BA16*'前提'!$B$9,0)-ROUNDDOWN(BA17*'前提'!$B$8,0)-ROUNDDOWN(BA17*'前提'!$B$10,0))</f>
        <v>223</v>
      </c>
      <c r="BC17" s="20">
        <f>MAX(0,BB17+ROUNDDOWN(BB16*'前提'!$B$9,0)-ROUNDDOWN(BB17*'前提'!$B$8,0)-ROUNDDOWN(BB17*'前提'!$B$10,0))</f>
        <v>227</v>
      </c>
      <c r="BD17" s="20">
        <f>MAX(0,BC17+ROUNDDOWN(BC16*'前提'!$B$9,0)-ROUNDDOWN(BC17*'前提'!$B$8,0)-ROUNDDOWN(BC17*'前提'!$B$10,0))</f>
        <v>231</v>
      </c>
      <c r="BE17" s="20">
        <f>MAX(0,BD17+ROUNDDOWN(BD16*'前提'!$B$9,0)-ROUNDDOWN(BD17*'前提'!$B$8,0)-ROUNDDOWN(BD17*'前提'!$B$10,0))</f>
        <v>235</v>
      </c>
      <c r="BF17" s="20">
        <f>MAX(0,BE17+ROUNDDOWN(BE16*'前提'!$B$9,0)-ROUNDDOWN(BE17*'前提'!$B$8,0)-ROUNDDOWN(BE17*'前提'!$B$10,0))</f>
        <v>238</v>
      </c>
      <c r="BG17" s="20">
        <f>MAX(0,BF17+ROUNDDOWN(BF16*'前提'!$B$9,0)-ROUNDDOWN(BF17*'前提'!$B$8,0)-ROUNDDOWN(BF17*'前提'!$B$10,0))</f>
        <v>241</v>
      </c>
      <c r="BH17" s="20">
        <f>MAX(0,BG17+ROUNDDOWN(BG16*'前提'!$B$9,0)-ROUNDDOWN(BG17*'前提'!$B$8,0)-ROUNDDOWN(BG17*'前提'!$B$10,0))</f>
        <v>243</v>
      </c>
      <c r="BI17" s="20">
        <f>MAX(0,BH17+ROUNDDOWN(BH16*'前提'!$B$9,0)-ROUNDDOWN(BH17*'前提'!$B$8,0)-ROUNDDOWN(BH17*'前提'!$B$10,0))</f>
        <v>245</v>
      </c>
    </row>
    <row r="18">
      <c r="A18" s="4" t="s">
        <v>190</v>
      </c>
      <c r="B18" s="20">
        <v>0.0</v>
      </c>
      <c r="C18" s="20">
        <f>MAX(0,B18+ROUNDDOWN(B17*'前提'!$B$10,0)-ROUNDDOWN(B18*'前提'!$B$8,0))</f>
        <v>0</v>
      </c>
      <c r="D18" s="20">
        <f>MAX(0,C18+ROUNDDOWN(C17*'前提'!$B$10,0)-ROUNDDOWN(C18*'前提'!$B$8,0))</f>
        <v>0</v>
      </c>
      <c r="E18" s="20">
        <f>MAX(0,D18+ROUNDDOWN(D17*'前提'!$B$10,0)-ROUNDDOWN(D18*'前提'!$B$8,0))</f>
        <v>0</v>
      </c>
      <c r="F18" s="20">
        <f>MAX(0,E18+ROUNDDOWN(E17*'前提'!$B$10,0)-ROUNDDOWN(E18*'前提'!$B$8,0))</f>
        <v>0</v>
      </c>
      <c r="G18" s="20">
        <f>MAX(0,F18+ROUNDDOWN(F17*'前提'!$B$10,0)-ROUNDDOWN(F18*'前提'!$B$8,0))</f>
        <v>0</v>
      </c>
      <c r="H18" s="20">
        <f>MAX(0,G18+ROUNDDOWN(G17*'前提'!$B$10,0)-ROUNDDOWN(G18*'前提'!$B$8,0))</f>
        <v>0</v>
      </c>
      <c r="I18" s="20">
        <f>MAX(0,H18+ROUNDDOWN(H17*'前提'!$B$10,0)-ROUNDDOWN(H18*'前提'!$B$8,0))</f>
        <v>0</v>
      </c>
      <c r="J18" s="20">
        <f>MAX(0,I18+ROUNDDOWN(I17*'前提'!$B$10,0)-ROUNDDOWN(I18*'前提'!$B$8,0))</f>
        <v>0</v>
      </c>
      <c r="K18" s="20">
        <f>MAX(0,J18+ROUNDDOWN(J17*'前提'!$B$10,0)-ROUNDDOWN(J18*'前提'!$B$8,0))</f>
        <v>0</v>
      </c>
      <c r="L18" s="20">
        <f>MAX(0,K18+ROUNDDOWN(K17*'前提'!$B$10,0)-ROUNDDOWN(K18*'前提'!$B$8,0))</f>
        <v>0</v>
      </c>
      <c r="M18" s="20">
        <f>MAX(0,L18+ROUNDDOWN(L17*'前提'!$B$10,0)-ROUNDDOWN(L18*'前提'!$B$8,0))</f>
        <v>0</v>
      </c>
      <c r="N18" s="20">
        <f>MAX(0,M18+ROUNDDOWN(M17*'前提'!$B$10,0)-ROUNDDOWN(M18*'前提'!$B$8,0))</f>
        <v>0</v>
      </c>
      <c r="O18" s="20">
        <f>MAX(0,N18+ROUNDDOWN(N17*'前提'!$B$10,0)-ROUNDDOWN(N18*'前提'!$B$8,0))</f>
        <v>0</v>
      </c>
      <c r="P18" s="20">
        <f>MAX(0,O18+ROUNDDOWN(O17*'前提'!$B$10,0)-ROUNDDOWN(O18*'前提'!$B$8,0))</f>
        <v>0</v>
      </c>
      <c r="Q18" s="20">
        <f>MAX(0,P18+ROUNDDOWN(P17*'前提'!$B$10,0)-ROUNDDOWN(P18*'前提'!$B$8,0))</f>
        <v>1</v>
      </c>
      <c r="R18" s="20">
        <f>MAX(0,Q18+ROUNDDOWN(Q17*'前提'!$B$10,0)-ROUNDDOWN(Q18*'前提'!$B$8,0))</f>
        <v>2</v>
      </c>
      <c r="S18" s="20">
        <f>MAX(0,R18+ROUNDDOWN(R17*'前提'!$B$10,0)-ROUNDDOWN(R18*'前提'!$B$8,0))</f>
        <v>3</v>
      </c>
      <c r="T18" s="20">
        <f>MAX(0,S18+ROUNDDOWN(S17*'前提'!$B$10,0)-ROUNDDOWN(S18*'前提'!$B$8,0))</f>
        <v>4</v>
      </c>
      <c r="U18" s="20">
        <f>MAX(0,T18+ROUNDDOWN(T17*'前提'!$B$10,0)-ROUNDDOWN(T18*'前提'!$B$8,0))</f>
        <v>5</v>
      </c>
      <c r="V18" s="20">
        <f>MAX(0,U18+ROUNDDOWN(U17*'前提'!$B$10,0)-ROUNDDOWN(U18*'前提'!$B$8,0))</f>
        <v>7</v>
      </c>
      <c r="W18" s="20">
        <f>MAX(0,V18+ROUNDDOWN(V17*'前提'!$B$10,0)-ROUNDDOWN(V18*'前提'!$B$8,0))</f>
        <v>9</v>
      </c>
      <c r="X18" s="20">
        <f>MAX(0,W18+ROUNDDOWN(W17*'前提'!$B$10,0)-ROUNDDOWN(W18*'前提'!$B$8,0))</f>
        <v>11</v>
      </c>
      <c r="Y18" s="20">
        <f>MAX(0,X18+ROUNDDOWN(X17*'前提'!$B$10,0)-ROUNDDOWN(X18*'前提'!$B$8,0))</f>
        <v>14</v>
      </c>
      <c r="Z18" s="20">
        <f>MAX(0,Y18+ROUNDDOWN(Y17*'前提'!$B$10,0)-ROUNDDOWN(Y18*'前提'!$B$8,0))</f>
        <v>17</v>
      </c>
      <c r="AA18" s="20">
        <f>MAX(0,Z18+ROUNDDOWN(Z17*'前提'!$B$10,0)-ROUNDDOWN(Z18*'前提'!$B$8,0))</f>
        <v>20</v>
      </c>
      <c r="AB18" s="20">
        <f>MAX(0,AA18+ROUNDDOWN(AA17*'前提'!$B$10,0)-ROUNDDOWN(AA18*'前提'!$B$8,0))</f>
        <v>23</v>
      </c>
      <c r="AC18" s="20">
        <f>MAX(0,AB18+ROUNDDOWN(AB17*'前提'!$B$10,0)-ROUNDDOWN(AB18*'前提'!$B$8,0))</f>
        <v>27</v>
      </c>
      <c r="AD18" s="20">
        <f>MAX(0,AC18+ROUNDDOWN(AC17*'前提'!$B$10,0)-ROUNDDOWN(AC18*'前提'!$B$8,0))</f>
        <v>31</v>
      </c>
      <c r="AE18" s="20">
        <f>MAX(0,AD18+ROUNDDOWN(AD17*'前提'!$B$10,0)-ROUNDDOWN(AD18*'前提'!$B$8,0))</f>
        <v>35</v>
      </c>
      <c r="AF18" s="20">
        <f>MAX(0,AE18+ROUNDDOWN(AE17*'前提'!$B$10,0)-ROUNDDOWN(AE18*'前提'!$B$8,0))</f>
        <v>39</v>
      </c>
      <c r="AG18" s="20">
        <f>MAX(0,AF18+ROUNDDOWN(AF17*'前提'!$B$10,0)-ROUNDDOWN(AF18*'前提'!$B$8,0))</f>
        <v>43</v>
      </c>
      <c r="AH18" s="20">
        <f>MAX(0,AG18+ROUNDDOWN(AG17*'前提'!$B$10,0)-ROUNDDOWN(AG18*'前提'!$B$8,0))</f>
        <v>47</v>
      </c>
      <c r="AI18" s="20">
        <f>MAX(0,AH18+ROUNDDOWN(AH17*'前提'!$B$10,0)-ROUNDDOWN(AH18*'前提'!$B$8,0))</f>
        <v>51</v>
      </c>
      <c r="AJ18" s="20">
        <f>MAX(0,AI18+ROUNDDOWN(AI17*'前提'!$B$10,0)-ROUNDDOWN(AI18*'前提'!$B$8,0))</f>
        <v>55</v>
      </c>
      <c r="AK18" s="20">
        <f>MAX(0,AJ18+ROUNDDOWN(AJ17*'前提'!$B$10,0)-ROUNDDOWN(AJ18*'前提'!$B$8,0))</f>
        <v>60</v>
      </c>
      <c r="AL18" s="20">
        <f>MAX(0,AK18+ROUNDDOWN(AK17*'前提'!$B$10,0)-ROUNDDOWN(AK18*'前提'!$B$8,0))</f>
        <v>65</v>
      </c>
      <c r="AM18" s="20">
        <f>MAX(0,AL18+ROUNDDOWN(AL17*'前提'!$B$10,0)-ROUNDDOWN(AL18*'前提'!$B$8,0))</f>
        <v>70</v>
      </c>
      <c r="AN18" s="20">
        <f>MAX(0,AM18+ROUNDDOWN(AM17*'前提'!$B$10,0)-ROUNDDOWN(AM18*'前提'!$B$8,0))</f>
        <v>74</v>
      </c>
      <c r="AO18" s="20">
        <f>MAX(0,AN18+ROUNDDOWN(AN17*'前提'!$B$10,0)-ROUNDDOWN(AN18*'前提'!$B$8,0))</f>
        <v>79</v>
      </c>
      <c r="AP18" s="20">
        <f>MAX(0,AO18+ROUNDDOWN(AO17*'前提'!$B$10,0)-ROUNDDOWN(AO18*'前提'!$B$8,0))</f>
        <v>84</v>
      </c>
      <c r="AQ18" s="20">
        <f>MAX(0,AP18+ROUNDDOWN(AP17*'前提'!$B$10,0)-ROUNDDOWN(AP18*'前提'!$B$8,0))</f>
        <v>89</v>
      </c>
      <c r="AR18" s="20">
        <f>MAX(0,AQ18+ROUNDDOWN(AQ17*'前提'!$B$10,0)-ROUNDDOWN(AQ18*'前提'!$B$8,0))</f>
        <v>94</v>
      </c>
      <c r="AS18" s="20">
        <f>MAX(0,AR18+ROUNDDOWN(AR17*'前提'!$B$10,0)-ROUNDDOWN(AR18*'前提'!$B$8,0))</f>
        <v>100</v>
      </c>
      <c r="AT18" s="20">
        <f>MAX(0,AS18+ROUNDDOWN(AS17*'前提'!$B$10,0)-ROUNDDOWN(AS18*'前提'!$B$8,0))</f>
        <v>105</v>
      </c>
      <c r="AU18" s="20">
        <f>MAX(0,AT18+ROUNDDOWN(AT17*'前提'!$B$10,0)-ROUNDDOWN(AT18*'前提'!$B$8,0))</f>
        <v>111</v>
      </c>
      <c r="AV18" s="20">
        <f>MAX(0,AU18+ROUNDDOWN(AU17*'前提'!$B$10,0)-ROUNDDOWN(AU18*'前提'!$B$8,0))</f>
        <v>117</v>
      </c>
      <c r="AW18" s="20">
        <f>MAX(0,AV18+ROUNDDOWN(AV17*'前提'!$B$10,0)-ROUNDDOWN(AV18*'前提'!$B$8,0))</f>
        <v>123</v>
      </c>
      <c r="AX18" s="20">
        <f>MAX(0,AW18+ROUNDDOWN(AW17*'前提'!$B$10,0)-ROUNDDOWN(AW18*'前提'!$B$8,0))</f>
        <v>129</v>
      </c>
      <c r="AY18" s="20">
        <f>MAX(0,AX18+ROUNDDOWN(AX17*'前提'!$B$10,0)-ROUNDDOWN(AX18*'前提'!$B$8,0))</f>
        <v>136</v>
      </c>
      <c r="AZ18" s="20">
        <f>MAX(0,AY18+ROUNDDOWN(AY17*'前提'!$B$10,0)-ROUNDDOWN(AY18*'前提'!$B$8,0))</f>
        <v>142</v>
      </c>
      <c r="BA18" s="20">
        <f>MAX(0,AZ18+ROUNDDOWN(AZ17*'前提'!$B$10,0)-ROUNDDOWN(AZ18*'前提'!$B$8,0))</f>
        <v>148</v>
      </c>
      <c r="BB18" s="20">
        <f>MAX(0,BA18+ROUNDDOWN(BA17*'前提'!$B$10,0)-ROUNDDOWN(BA18*'前提'!$B$8,0))</f>
        <v>154</v>
      </c>
      <c r="BC18" s="20">
        <f>MAX(0,BB18+ROUNDDOWN(BB17*'前提'!$B$10,0)-ROUNDDOWN(BB18*'前提'!$B$8,0))</f>
        <v>161</v>
      </c>
      <c r="BD18" s="20">
        <f>MAX(0,BC18+ROUNDDOWN(BC17*'前提'!$B$10,0)-ROUNDDOWN(BC18*'前提'!$B$8,0))</f>
        <v>168</v>
      </c>
      <c r="BE18" s="20">
        <f>MAX(0,BD18+ROUNDDOWN(BD17*'前提'!$B$10,0)-ROUNDDOWN(BD18*'前提'!$B$8,0))</f>
        <v>174</v>
      </c>
      <c r="BF18" s="20">
        <f>MAX(0,BE18+ROUNDDOWN(BE17*'前提'!$B$10,0)-ROUNDDOWN(BE18*'前提'!$B$8,0))</f>
        <v>180</v>
      </c>
      <c r="BG18" s="20">
        <f>MAX(0,BF18+ROUNDDOWN(BF17*'前提'!$B$10,0)-ROUNDDOWN(BF18*'前提'!$B$8,0))</f>
        <v>186</v>
      </c>
      <c r="BH18" s="20">
        <f>MAX(0,BG18+ROUNDDOWN(BG17*'前提'!$B$10,0)-ROUNDDOWN(BG18*'前提'!$B$8,0))</f>
        <v>193</v>
      </c>
      <c r="BI18" s="20">
        <f>MAX(0,BH18+ROUNDDOWN(BH17*'前提'!$B$10,0)-ROUNDDOWN(BH18*'前提'!$B$8,0))</f>
        <v>200</v>
      </c>
    </row>
    <row r="20">
      <c r="A20" s="2" t="s">
        <v>191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ht="15.75" customHeight="1">
      <c r="A21" s="4" t="s">
        <v>192</v>
      </c>
      <c r="B21" s="20">
        <f>B16*'前提'!$B$5</f>
        <v>75000</v>
      </c>
      <c r="C21" s="20">
        <f>C16*'前提'!$B$5</f>
        <v>125000</v>
      </c>
      <c r="D21" s="20">
        <f>D16*'前提'!$B$5</f>
        <v>175000</v>
      </c>
      <c r="E21" s="20">
        <f>E16*'前提'!$B$5</f>
        <v>200000</v>
      </c>
      <c r="F21" s="20">
        <f>F16*'前提'!$B$5</f>
        <v>225000</v>
      </c>
      <c r="G21" s="20">
        <f>G16*'前提'!$B$5</f>
        <v>250000</v>
      </c>
      <c r="H21" s="20">
        <f>H16*'前提'!$B$5</f>
        <v>300000</v>
      </c>
      <c r="I21" s="20">
        <f>I16*'前提'!$B$5</f>
        <v>350000</v>
      </c>
      <c r="J21" s="20">
        <f>J16*'前提'!$B$5</f>
        <v>375000</v>
      </c>
      <c r="K21" s="20">
        <f>K16*'前提'!$B$5</f>
        <v>400000</v>
      </c>
      <c r="L21" s="20">
        <f>L16*'前提'!$B$5</f>
        <v>425000</v>
      </c>
      <c r="M21" s="20">
        <f>M16*'前提'!$B$5</f>
        <v>450000</v>
      </c>
      <c r="N21" s="20">
        <f>N16*'前提'!$B$5</f>
        <v>600000</v>
      </c>
      <c r="O21" s="20">
        <f>O16*'前提'!$B$5</f>
        <v>725000</v>
      </c>
      <c r="P21" s="20">
        <f>P16*'前提'!$B$5</f>
        <v>825000</v>
      </c>
      <c r="Q21" s="20">
        <f>Q16*'前提'!$B$5</f>
        <v>925000</v>
      </c>
      <c r="R21" s="20">
        <f>R16*'前提'!$B$5</f>
        <v>975000</v>
      </c>
      <c r="S21" s="20">
        <f>S16*'前提'!$B$5</f>
        <v>1025000</v>
      </c>
      <c r="T21" s="20">
        <f>T16*'前提'!$B$5</f>
        <v>1225000</v>
      </c>
      <c r="U21" s="20">
        <f>U16*'前提'!$B$5</f>
        <v>1400000</v>
      </c>
      <c r="V21" s="20">
        <f>V16*'前提'!$B$5</f>
        <v>1550000</v>
      </c>
      <c r="W21" s="20">
        <f>W16*'前提'!$B$5</f>
        <v>1675000</v>
      </c>
      <c r="X21" s="20">
        <f>X16*'前提'!$B$5</f>
        <v>1750000</v>
      </c>
      <c r="Y21" s="20">
        <f>Y16*'前提'!$B$5</f>
        <v>1825000</v>
      </c>
      <c r="Z21" s="20">
        <f>Z16*'前提'!$B$5</f>
        <v>1900000</v>
      </c>
      <c r="AA21" s="20">
        <f>AA16*'前提'!$B$5</f>
        <v>1950000</v>
      </c>
      <c r="AB21" s="20">
        <f>AB16*'前提'!$B$5</f>
        <v>2000000</v>
      </c>
      <c r="AC21" s="20">
        <f>AC16*'前提'!$B$5</f>
        <v>2025000</v>
      </c>
      <c r="AD21" s="20">
        <f>AD16*'前提'!$B$5</f>
        <v>2050000</v>
      </c>
      <c r="AE21" s="20">
        <f>AE16*'前提'!$B$5</f>
        <v>2075000</v>
      </c>
      <c r="AF21" s="20">
        <f>AF16*'前提'!$B$5</f>
        <v>2100000</v>
      </c>
      <c r="AG21" s="20">
        <f>AG16*'前提'!$B$5</f>
        <v>2125000</v>
      </c>
      <c r="AH21" s="20">
        <f>AH16*'前提'!$B$5</f>
        <v>2150000</v>
      </c>
      <c r="AI21" s="20">
        <f>AI16*'前提'!$B$5</f>
        <v>2175000</v>
      </c>
      <c r="AJ21" s="20">
        <f>AJ16*'前提'!$B$5</f>
        <v>2175000</v>
      </c>
      <c r="AK21" s="20">
        <f>AK16*'前提'!$B$5</f>
        <v>2175000</v>
      </c>
      <c r="AL21" s="20">
        <f>AL16*'前提'!$B$5</f>
        <v>2425000</v>
      </c>
      <c r="AM21" s="20">
        <f>AM16*'前提'!$B$5</f>
        <v>2650000</v>
      </c>
      <c r="AN21" s="20">
        <f>AN16*'前提'!$B$5</f>
        <v>2825000</v>
      </c>
      <c r="AO21" s="20">
        <f>AO16*'前提'!$B$5</f>
        <v>2975000</v>
      </c>
      <c r="AP21" s="20">
        <f>AP16*'前提'!$B$5</f>
        <v>3100000</v>
      </c>
      <c r="AQ21" s="20">
        <f>AQ16*'前提'!$B$5</f>
        <v>3200000</v>
      </c>
      <c r="AR21" s="20">
        <f>AR16*'前提'!$B$5</f>
        <v>3275000</v>
      </c>
      <c r="AS21" s="20">
        <f>AS16*'前提'!$B$5</f>
        <v>3350000</v>
      </c>
      <c r="AT21" s="20">
        <f>AT16*'前提'!$B$5</f>
        <v>3375000</v>
      </c>
      <c r="AU21" s="20">
        <f>AU16*'前提'!$B$5</f>
        <v>3400000</v>
      </c>
      <c r="AV21" s="20">
        <f>AV16*'前提'!$B$5</f>
        <v>3425000</v>
      </c>
      <c r="AW21" s="20">
        <f>AW16*'前提'!$B$5</f>
        <v>3450000</v>
      </c>
      <c r="AX21" s="20">
        <f>AX16*'前提'!$B$5</f>
        <v>3475000</v>
      </c>
      <c r="AY21" s="20">
        <f>AY16*'前提'!$B$5</f>
        <v>3500000</v>
      </c>
      <c r="AZ21" s="20">
        <f>AZ16*'前提'!$B$5</f>
        <v>3500000</v>
      </c>
      <c r="BA21" s="20">
        <f>BA16*'前提'!$B$5</f>
        <v>3500000</v>
      </c>
      <c r="BB21" s="20">
        <f>BB16*'前提'!$B$5</f>
        <v>3500000</v>
      </c>
      <c r="BC21" s="20">
        <f>BC16*'前提'!$B$5</f>
        <v>3500000</v>
      </c>
      <c r="BD21" s="20">
        <f>BD16*'前提'!$B$5</f>
        <v>3500000</v>
      </c>
      <c r="BE21" s="20">
        <f>BE16*'前提'!$B$5</f>
        <v>3500000</v>
      </c>
      <c r="BF21" s="20">
        <f>BF16*'前提'!$B$5</f>
        <v>3500000</v>
      </c>
      <c r="BG21" s="20">
        <f>BG16*'前提'!$B$5</f>
        <v>3500000</v>
      </c>
      <c r="BH21" s="20">
        <f>BH16*'前提'!$B$5</f>
        <v>3500000</v>
      </c>
      <c r="BI21" s="20">
        <f>BI16*'前提'!$B$5</f>
        <v>3500000</v>
      </c>
    </row>
    <row r="22" ht="15.75" customHeight="1">
      <c r="A22" s="4" t="s">
        <v>193</v>
      </c>
      <c r="B22" s="20">
        <f>B17*'前提'!$B$6</f>
        <v>0</v>
      </c>
      <c r="C22" s="20">
        <f>C17*'前提'!$B$6</f>
        <v>0</v>
      </c>
      <c r="D22" s="20">
        <f>D17*'前提'!$B$6</f>
        <v>0</v>
      </c>
      <c r="E22" s="20">
        <f>E17*'前提'!$B$6</f>
        <v>75000</v>
      </c>
      <c r="F22" s="20">
        <f>F17*'前提'!$B$6</f>
        <v>150000</v>
      </c>
      <c r="G22" s="20">
        <f>G17*'前提'!$B$6</f>
        <v>225000</v>
      </c>
      <c r="H22" s="20">
        <f>H17*'前提'!$B$6</f>
        <v>300000</v>
      </c>
      <c r="I22" s="20">
        <f>I17*'前提'!$B$6</f>
        <v>375000</v>
      </c>
      <c r="J22" s="20">
        <f>J17*'前提'!$B$6</f>
        <v>525000</v>
      </c>
      <c r="K22" s="20">
        <f>K17*'前提'!$B$6</f>
        <v>675000</v>
      </c>
      <c r="L22" s="20">
        <f>L17*'前提'!$B$6</f>
        <v>825000</v>
      </c>
      <c r="M22" s="20">
        <f>M17*'前提'!$B$6</f>
        <v>975000</v>
      </c>
      <c r="N22" s="20">
        <f>N17*'前提'!$B$6</f>
        <v>1125000</v>
      </c>
      <c r="O22" s="20">
        <f>O17*'前提'!$B$6</f>
        <v>1350000</v>
      </c>
      <c r="P22" s="20">
        <f>P17*'前提'!$B$6</f>
        <v>1650000</v>
      </c>
      <c r="Q22" s="20">
        <f>Q17*'前提'!$B$6</f>
        <v>1875000</v>
      </c>
      <c r="R22" s="20">
        <f>R17*'前提'!$B$6</f>
        <v>2175000</v>
      </c>
      <c r="S22" s="20">
        <f>S17*'前提'!$B$6</f>
        <v>2475000</v>
      </c>
      <c r="T22" s="20">
        <f>T17*'前提'!$B$6</f>
        <v>2850000</v>
      </c>
      <c r="U22" s="20">
        <f>U17*'前提'!$B$6</f>
        <v>3225000</v>
      </c>
      <c r="V22" s="20">
        <f>V17*'前提'!$B$6</f>
        <v>3600000</v>
      </c>
      <c r="W22" s="20">
        <f>W17*'前提'!$B$6</f>
        <v>4050000</v>
      </c>
      <c r="X22" s="20">
        <f>X17*'前提'!$B$6</f>
        <v>4575000</v>
      </c>
      <c r="Y22" s="20">
        <f>Y17*'前提'!$B$6</f>
        <v>5025000</v>
      </c>
      <c r="Z22" s="20">
        <f>Z17*'前提'!$B$6</f>
        <v>5400000</v>
      </c>
      <c r="AA22" s="20">
        <f>AA17*'前提'!$B$6</f>
        <v>5850000</v>
      </c>
      <c r="AB22" s="20">
        <f>AB17*'前提'!$B$6</f>
        <v>6300000</v>
      </c>
      <c r="AC22" s="20">
        <f>AC17*'前提'!$B$6</f>
        <v>6750000</v>
      </c>
      <c r="AD22" s="20">
        <f>AD17*'前提'!$B$6</f>
        <v>7200000</v>
      </c>
      <c r="AE22" s="20">
        <f>AE17*'前提'!$B$6</f>
        <v>7650000</v>
      </c>
      <c r="AF22" s="20">
        <f>AF17*'前提'!$B$6</f>
        <v>7950000</v>
      </c>
      <c r="AG22" s="20">
        <f>AG17*'前提'!$B$6</f>
        <v>8250000</v>
      </c>
      <c r="AH22" s="20">
        <f>AH17*'前提'!$B$6</f>
        <v>8550000</v>
      </c>
      <c r="AI22" s="20">
        <f>AI17*'前提'!$B$6</f>
        <v>8850000</v>
      </c>
      <c r="AJ22" s="20">
        <f>AJ17*'前提'!$B$6</f>
        <v>9225000</v>
      </c>
      <c r="AK22" s="20">
        <f>AK17*'前提'!$B$6</f>
        <v>9525000</v>
      </c>
      <c r="AL22" s="20">
        <f>AL17*'前提'!$B$6</f>
        <v>9825000</v>
      </c>
      <c r="AM22" s="20">
        <f>AM17*'前提'!$B$6</f>
        <v>10200000</v>
      </c>
      <c r="AN22" s="20">
        <f>AN17*'前提'!$B$6</f>
        <v>10575000</v>
      </c>
      <c r="AO22" s="20">
        <f>AO17*'前提'!$B$6</f>
        <v>10950000</v>
      </c>
      <c r="AP22" s="20">
        <f>AP17*'前提'!$B$6</f>
        <v>11400000</v>
      </c>
      <c r="AQ22" s="20">
        <f>AQ17*'前提'!$B$6</f>
        <v>11925000</v>
      </c>
      <c r="AR22" s="20">
        <f>AR17*'前提'!$B$6</f>
        <v>12525000</v>
      </c>
      <c r="AS22" s="20">
        <f>AS17*'前提'!$B$6</f>
        <v>12975000</v>
      </c>
      <c r="AT22" s="20">
        <f>AT17*'前提'!$B$6</f>
        <v>13500000</v>
      </c>
      <c r="AU22" s="20">
        <f>AU17*'前提'!$B$6</f>
        <v>13950000</v>
      </c>
      <c r="AV22" s="20">
        <f>AV17*'前提'!$B$6</f>
        <v>14400000</v>
      </c>
      <c r="AW22" s="20">
        <f>AW17*'前提'!$B$6</f>
        <v>14850000</v>
      </c>
      <c r="AX22" s="20">
        <f>AX17*'前提'!$B$6</f>
        <v>15300000</v>
      </c>
      <c r="AY22" s="20">
        <f>AY17*'前提'!$B$6</f>
        <v>15600000</v>
      </c>
      <c r="AZ22" s="20">
        <f>AZ17*'前提'!$B$6</f>
        <v>15975000</v>
      </c>
      <c r="BA22" s="20">
        <f>BA17*'前提'!$B$6</f>
        <v>16350000</v>
      </c>
      <c r="BB22" s="20">
        <f>BB17*'前提'!$B$6</f>
        <v>16725000</v>
      </c>
      <c r="BC22" s="20">
        <f>BC17*'前提'!$B$6</f>
        <v>17025000</v>
      </c>
      <c r="BD22" s="20">
        <f>BD17*'前提'!$B$6</f>
        <v>17325000</v>
      </c>
      <c r="BE22" s="20">
        <f>BE17*'前提'!$B$6</f>
        <v>17625000</v>
      </c>
      <c r="BF22" s="20">
        <f>BF17*'前提'!$B$6</f>
        <v>17850000</v>
      </c>
      <c r="BG22" s="20">
        <f>BG17*'前提'!$B$6</f>
        <v>18075000</v>
      </c>
      <c r="BH22" s="20">
        <f>BH17*'前提'!$B$6</f>
        <v>18225000</v>
      </c>
      <c r="BI22" s="20">
        <f>BI17*'前提'!$B$6</f>
        <v>18375000</v>
      </c>
    </row>
    <row r="23" ht="15.75" customHeight="1">
      <c r="A23" s="4" t="s">
        <v>194</v>
      </c>
      <c r="B23" s="20">
        <f>B18*'前提'!$B$7</f>
        <v>0</v>
      </c>
      <c r="C23" s="20">
        <f>C18*'前提'!$B$7</f>
        <v>0</v>
      </c>
      <c r="D23" s="20">
        <f>D18*'前提'!$B$7</f>
        <v>0</v>
      </c>
      <c r="E23" s="20">
        <f>E18*'前提'!$B$7</f>
        <v>0</v>
      </c>
      <c r="F23" s="20">
        <f>F18*'前提'!$B$7</f>
        <v>0</v>
      </c>
      <c r="G23" s="20">
        <f>G18*'前提'!$B$7</f>
        <v>0</v>
      </c>
      <c r="H23" s="20">
        <f>H18*'前提'!$B$7</f>
        <v>0</v>
      </c>
      <c r="I23" s="20">
        <f>I18*'前提'!$B$7</f>
        <v>0</v>
      </c>
      <c r="J23" s="20">
        <f>J18*'前提'!$B$7</f>
        <v>0</v>
      </c>
      <c r="K23" s="20">
        <f>K18*'前提'!$B$7</f>
        <v>0</v>
      </c>
      <c r="L23" s="20">
        <f>L18*'前提'!$B$7</f>
        <v>0</v>
      </c>
      <c r="M23" s="20">
        <f>M18*'前提'!$B$7</f>
        <v>0</v>
      </c>
      <c r="N23" s="20">
        <f>N18*'前提'!$B$7</f>
        <v>0</v>
      </c>
      <c r="O23" s="20">
        <f>O18*'前提'!$B$7</f>
        <v>0</v>
      </c>
      <c r="P23" s="20">
        <f>P18*'前提'!$B$7</f>
        <v>0</v>
      </c>
      <c r="Q23" s="20">
        <f>Q18*'前提'!$B$7</f>
        <v>250000</v>
      </c>
      <c r="R23" s="20">
        <f>R18*'前提'!$B$7</f>
        <v>500000</v>
      </c>
      <c r="S23" s="20">
        <f>S18*'前提'!$B$7</f>
        <v>750000</v>
      </c>
      <c r="T23" s="20">
        <f>T18*'前提'!$B$7</f>
        <v>1000000</v>
      </c>
      <c r="U23" s="20">
        <f>U18*'前提'!$B$7</f>
        <v>1250000</v>
      </c>
      <c r="V23" s="20">
        <f>V18*'前提'!$B$7</f>
        <v>1750000</v>
      </c>
      <c r="W23" s="20">
        <f>W18*'前提'!$B$7</f>
        <v>2250000</v>
      </c>
      <c r="X23" s="20">
        <f>X18*'前提'!$B$7</f>
        <v>2750000</v>
      </c>
      <c r="Y23" s="20">
        <f>Y18*'前提'!$B$7</f>
        <v>3500000</v>
      </c>
      <c r="Z23" s="20">
        <f>Z18*'前提'!$B$7</f>
        <v>4250000</v>
      </c>
      <c r="AA23" s="20">
        <f>AA18*'前提'!$B$7</f>
        <v>5000000</v>
      </c>
      <c r="AB23" s="20">
        <f>AB18*'前提'!$B$7</f>
        <v>5750000</v>
      </c>
      <c r="AC23" s="20">
        <f>AC18*'前提'!$B$7</f>
        <v>6750000</v>
      </c>
      <c r="AD23" s="20">
        <f>AD18*'前提'!$B$7</f>
        <v>7750000</v>
      </c>
      <c r="AE23" s="20">
        <f>AE18*'前提'!$B$7</f>
        <v>8750000</v>
      </c>
      <c r="AF23" s="20">
        <f>AF18*'前提'!$B$7</f>
        <v>9750000</v>
      </c>
      <c r="AG23" s="20">
        <f>AG18*'前提'!$B$7</f>
        <v>10750000</v>
      </c>
      <c r="AH23" s="20">
        <f>AH18*'前提'!$B$7</f>
        <v>11750000</v>
      </c>
      <c r="AI23" s="20">
        <f>AI18*'前提'!$B$7</f>
        <v>12750000</v>
      </c>
      <c r="AJ23" s="20">
        <f>AJ18*'前提'!$B$7</f>
        <v>13750000</v>
      </c>
      <c r="AK23" s="20">
        <f>AK18*'前提'!$B$7</f>
        <v>15000000</v>
      </c>
      <c r="AL23" s="20">
        <f>AL18*'前提'!$B$7</f>
        <v>16250000</v>
      </c>
      <c r="AM23" s="20">
        <f>AM18*'前提'!$B$7</f>
        <v>17500000</v>
      </c>
      <c r="AN23" s="20">
        <f>AN18*'前提'!$B$7</f>
        <v>18500000</v>
      </c>
      <c r="AO23" s="20">
        <f>AO18*'前提'!$B$7</f>
        <v>19750000</v>
      </c>
      <c r="AP23" s="20">
        <f>AP18*'前提'!$B$7</f>
        <v>21000000</v>
      </c>
      <c r="AQ23" s="20">
        <f>AQ18*'前提'!$B$7</f>
        <v>22250000</v>
      </c>
      <c r="AR23" s="20">
        <f>AR18*'前提'!$B$7</f>
        <v>23500000</v>
      </c>
      <c r="AS23" s="20">
        <f>AS18*'前提'!$B$7</f>
        <v>25000000</v>
      </c>
      <c r="AT23" s="20">
        <f>AT18*'前提'!$B$7</f>
        <v>26250000</v>
      </c>
      <c r="AU23" s="20">
        <f>AU18*'前提'!$B$7</f>
        <v>27750000</v>
      </c>
      <c r="AV23" s="20">
        <f>AV18*'前提'!$B$7</f>
        <v>29250000</v>
      </c>
      <c r="AW23" s="20">
        <f>AW18*'前提'!$B$7</f>
        <v>30750000</v>
      </c>
      <c r="AX23" s="20">
        <f>AX18*'前提'!$B$7</f>
        <v>32250000</v>
      </c>
      <c r="AY23" s="20">
        <f>AY18*'前提'!$B$7</f>
        <v>34000000</v>
      </c>
      <c r="AZ23" s="20">
        <f>AZ18*'前提'!$B$7</f>
        <v>35500000</v>
      </c>
      <c r="BA23" s="20">
        <f>BA18*'前提'!$B$7</f>
        <v>37000000</v>
      </c>
      <c r="BB23" s="20">
        <f>BB18*'前提'!$B$7</f>
        <v>38500000</v>
      </c>
      <c r="BC23" s="20">
        <f>BC18*'前提'!$B$7</f>
        <v>40250000</v>
      </c>
      <c r="BD23" s="20">
        <f>BD18*'前提'!$B$7</f>
        <v>42000000</v>
      </c>
      <c r="BE23" s="20">
        <f>BE18*'前提'!$B$7</f>
        <v>43500000</v>
      </c>
      <c r="BF23" s="20">
        <f>BF18*'前提'!$B$7</f>
        <v>45000000</v>
      </c>
      <c r="BG23" s="20">
        <f>BG18*'前提'!$B$7</f>
        <v>46500000</v>
      </c>
      <c r="BH23" s="20">
        <f>BH18*'前提'!$B$7</f>
        <v>48250000</v>
      </c>
      <c r="BI23" s="20">
        <f>BI18*'前提'!$B$7</f>
        <v>50000000</v>
      </c>
    </row>
    <row r="24" ht="15.75" customHeight="1">
      <c r="A24" s="4" t="s">
        <v>195</v>
      </c>
      <c r="B24" s="23">
        <f t="shared" ref="B24:BI24" si="3">B21+B22+B23</f>
        <v>75000</v>
      </c>
      <c r="C24" s="23">
        <f t="shared" si="3"/>
        <v>125000</v>
      </c>
      <c r="D24" s="23">
        <f t="shared" si="3"/>
        <v>175000</v>
      </c>
      <c r="E24" s="23">
        <f t="shared" si="3"/>
        <v>275000</v>
      </c>
      <c r="F24" s="23">
        <f t="shared" si="3"/>
        <v>375000</v>
      </c>
      <c r="G24" s="23">
        <f t="shared" si="3"/>
        <v>475000</v>
      </c>
      <c r="H24" s="23">
        <f t="shared" si="3"/>
        <v>600000</v>
      </c>
      <c r="I24" s="23">
        <f t="shared" si="3"/>
        <v>725000</v>
      </c>
      <c r="J24" s="23">
        <f t="shared" si="3"/>
        <v>900000</v>
      </c>
      <c r="K24" s="23">
        <f t="shared" si="3"/>
        <v>1075000</v>
      </c>
      <c r="L24" s="23">
        <f t="shared" si="3"/>
        <v>1250000</v>
      </c>
      <c r="M24" s="23">
        <f t="shared" si="3"/>
        <v>1425000</v>
      </c>
      <c r="N24" s="23">
        <f t="shared" si="3"/>
        <v>1725000</v>
      </c>
      <c r="O24" s="23">
        <f t="shared" si="3"/>
        <v>2075000</v>
      </c>
      <c r="P24" s="23">
        <f t="shared" si="3"/>
        <v>2475000</v>
      </c>
      <c r="Q24" s="23">
        <f t="shared" si="3"/>
        <v>3050000</v>
      </c>
      <c r="R24" s="23">
        <f t="shared" si="3"/>
        <v>3650000</v>
      </c>
      <c r="S24" s="23">
        <f t="shared" si="3"/>
        <v>4250000</v>
      </c>
      <c r="T24" s="23">
        <f t="shared" si="3"/>
        <v>5075000</v>
      </c>
      <c r="U24" s="23">
        <f t="shared" si="3"/>
        <v>5875000</v>
      </c>
      <c r="V24" s="23">
        <f t="shared" si="3"/>
        <v>6900000</v>
      </c>
      <c r="W24" s="23">
        <f t="shared" si="3"/>
        <v>7975000</v>
      </c>
      <c r="X24" s="23">
        <f t="shared" si="3"/>
        <v>9075000</v>
      </c>
      <c r="Y24" s="23">
        <f t="shared" si="3"/>
        <v>10350000</v>
      </c>
      <c r="Z24" s="23">
        <f t="shared" si="3"/>
        <v>11550000</v>
      </c>
      <c r="AA24" s="23">
        <f t="shared" si="3"/>
        <v>12800000</v>
      </c>
      <c r="AB24" s="23">
        <f t="shared" si="3"/>
        <v>14050000</v>
      </c>
      <c r="AC24" s="23">
        <f t="shared" si="3"/>
        <v>15525000</v>
      </c>
      <c r="AD24" s="23">
        <f t="shared" si="3"/>
        <v>17000000</v>
      </c>
      <c r="AE24" s="23">
        <f t="shared" si="3"/>
        <v>18475000</v>
      </c>
      <c r="AF24" s="23">
        <f t="shared" si="3"/>
        <v>19800000</v>
      </c>
      <c r="AG24" s="23">
        <f t="shared" si="3"/>
        <v>21125000</v>
      </c>
      <c r="AH24" s="23">
        <f t="shared" si="3"/>
        <v>22450000</v>
      </c>
      <c r="AI24" s="23">
        <f t="shared" si="3"/>
        <v>23775000</v>
      </c>
      <c r="AJ24" s="23">
        <f t="shared" si="3"/>
        <v>25150000</v>
      </c>
      <c r="AK24" s="23">
        <f t="shared" si="3"/>
        <v>26700000</v>
      </c>
      <c r="AL24" s="23">
        <f t="shared" si="3"/>
        <v>28500000</v>
      </c>
      <c r="AM24" s="23">
        <f t="shared" si="3"/>
        <v>30350000</v>
      </c>
      <c r="AN24" s="23">
        <f t="shared" si="3"/>
        <v>31900000</v>
      </c>
      <c r="AO24" s="23">
        <f t="shared" si="3"/>
        <v>33675000</v>
      </c>
      <c r="AP24" s="23">
        <f t="shared" si="3"/>
        <v>35500000</v>
      </c>
      <c r="AQ24" s="23">
        <f t="shared" si="3"/>
        <v>37375000</v>
      </c>
      <c r="AR24" s="23">
        <f t="shared" si="3"/>
        <v>39300000</v>
      </c>
      <c r="AS24" s="23">
        <f t="shared" si="3"/>
        <v>41325000</v>
      </c>
      <c r="AT24" s="23">
        <f t="shared" si="3"/>
        <v>43125000</v>
      </c>
      <c r="AU24" s="23">
        <f t="shared" si="3"/>
        <v>45100000</v>
      </c>
      <c r="AV24" s="23">
        <f t="shared" si="3"/>
        <v>47075000</v>
      </c>
      <c r="AW24" s="23">
        <f t="shared" si="3"/>
        <v>49050000</v>
      </c>
      <c r="AX24" s="23">
        <f t="shared" si="3"/>
        <v>51025000</v>
      </c>
      <c r="AY24" s="23">
        <f t="shared" si="3"/>
        <v>53100000</v>
      </c>
      <c r="AZ24" s="23">
        <f t="shared" si="3"/>
        <v>54975000</v>
      </c>
      <c r="BA24" s="23">
        <f t="shared" si="3"/>
        <v>56850000</v>
      </c>
      <c r="BB24" s="23">
        <f t="shared" si="3"/>
        <v>58725000</v>
      </c>
      <c r="BC24" s="23">
        <f t="shared" si="3"/>
        <v>60775000</v>
      </c>
      <c r="BD24" s="23">
        <f t="shared" si="3"/>
        <v>62825000</v>
      </c>
      <c r="BE24" s="23">
        <f t="shared" si="3"/>
        <v>64625000</v>
      </c>
      <c r="BF24" s="23">
        <f t="shared" si="3"/>
        <v>66350000</v>
      </c>
      <c r="BG24" s="23">
        <f t="shared" si="3"/>
        <v>68075000</v>
      </c>
      <c r="BH24" s="23">
        <f t="shared" si="3"/>
        <v>69975000</v>
      </c>
      <c r="BI24" s="23">
        <f t="shared" si="3"/>
        <v>71875000</v>
      </c>
    </row>
    <row r="25" ht="15.75" customHeight="1">
      <c r="A25" s="4" t="s">
        <v>196</v>
      </c>
      <c r="B25" s="20">
        <f>B12*'前提'!$B$4</f>
        <v>800000</v>
      </c>
      <c r="C25" s="20">
        <f>C12*'前提'!$B$4</f>
        <v>800000</v>
      </c>
      <c r="D25" s="20">
        <f>D12*'前提'!$B$4</f>
        <v>800000</v>
      </c>
      <c r="E25" s="20">
        <f>E12*'前提'!$B$4</f>
        <v>800000</v>
      </c>
      <c r="F25" s="20">
        <f>F12*'前提'!$B$4</f>
        <v>800000</v>
      </c>
      <c r="G25" s="20">
        <f>G12*'前提'!$B$4</f>
        <v>800000</v>
      </c>
      <c r="H25" s="20">
        <f>H12*'前提'!$B$4</f>
        <v>1200000</v>
      </c>
      <c r="I25" s="20">
        <f>I12*'前提'!$B$4</f>
        <v>1200000</v>
      </c>
      <c r="J25" s="20">
        <f>J12*'前提'!$B$4</f>
        <v>1200000</v>
      </c>
      <c r="K25" s="20">
        <f>K12*'前提'!$B$4</f>
        <v>1200000</v>
      </c>
      <c r="L25" s="20">
        <f>L12*'前提'!$B$4</f>
        <v>1200000</v>
      </c>
      <c r="M25" s="20">
        <f>M12*'前提'!$B$4</f>
        <v>1200000</v>
      </c>
      <c r="N25" s="20">
        <f>N12*'前提'!$B$4</f>
        <v>3200000</v>
      </c>
      <c r="O25" s="20">
        <f>O12*'前提'!$B$4</f>
        <v>3200000</v>
      </c>
      <c r="P25" s="20">
        <f>P12*'前提'!$B$4</f>
        <v>3200000</v>
      </c>
      <c r="Q25" s="20">
        <f>Q12*'前提'!$B$4</f>
        <v>3200000</v>
      </c>
      <c r="R25" s="20">
        <f>R12*'前提'!$B$4</f>
        <v>3200000</v>
      </c>
      <c r="S25" s="20">
        <f>S12*'前提'!$B$4</f>
        <v>3200000</v>
      </c>
      <c r="T25" s="20">
        <f>T12*'前提'!$B$4</f>
        <v>6000000</v>
      </c>
      <c r="U25" s="20">
        <f>U12*'前提'!$B$4</f>
        <v>6000000</v>
      </c>
      <c r="V25" s="20">
        <f>V12*'前提'!$B$4</f>
        <v>6000000</v>
      </c>
      <c r="W25" s="20">
        <f>W12*'前提'!$B$4</f>
        <v>6000000</v>
      </c>
      <c r="X25" s="20">
        <f>X12*'前提'!$B$4</f>
        <v>6000000</v>
      </c>
      <c r="Y25" s="20">
        <f>Y12*'前提'!$B$4</f>
        <v>6000000</v>
      </c>
      <c r="Z25" s="20">
        <f>Z12*'前提'!$B$4</f>
        <v>6000000</v>
      </c>
      <c r="AA25" s="20">
        <f>AA12*'前提'!$B$4</f>
        <v>6000000</v>
      </c>
      <c r="AB25" s="20">
        <f>AB12*'前提'!$B$4</f>
        <v>6000000</v>
      </c>
      <c r="AC25" s="20">
        <f>AC12*'前提'!$B$4</f>
        <v>6000000</v>
      </c>
      <c r="AD25" s="20">
        <f>AD12*'前提'!$B$4</f>
        <v>6000000</v>
      </c>
      <c r="AE25" s="20">
        <f>AE12*'前提'!$B$4</f>
        <v>6000000</v>
      </c>
      <c r="AF25" s="20">
        <f>AF12*'前提'!$B$4</f>
        <v>6000000</v>
      </c>
      <c r="AG25" s="20">
        <f>AG12*'前提'!$B$4</f>
        <v>6000000</v>
      </c>
      <c r="AH25" s="20">
        <f>AH12*'前提'!$B$4</f>
        <v>6000000</v>
      </c>
      <c r="AI25" s="20">
        <f>AI12*'前提'!$B$4</f>
        <v>6000000</v>
      </c>
      <c r="AJ25" s="20">
        <f>AJ12*'前提'!$B$4</f>
        <v>6000000</v>
      </c>
      <c r="AK25" s="20">
        <f>AK12*'前提'!$B$4</f>
        <v>6000000</v>
      </c>
      <c r="AL25" s="20">
        <f>AL12*'前提'!$B$4</f>
        <v>10000000</v>
      </c>
      <c r="AM25" s="20">
        <f>AM12*'前提'!$B$4</f>
        <v>10000000</v>
      </c>
      <c r="AN25" s="20">
        <f>AN12*'前提'!$B$4</f>
        <v>10000000</v>
      </c>
      <c r="AO25" s="20">
        <f>AO12*'前提'!$B$4</f>
        <v>10000000</v>
      </c>
      <c r="AP25" s="20">
        <f>AP12*'前提'!$B$4</f>
        <v>10000000</v>
      </c>
      <c r="AQ25" s="20">
        <f>AQ12*'前提'!$B$4</f>
        <v>10000000</v>
      </c>
      <c r="AR25" s="20">
        <f>AR12*'前提'!$B$4</f>
        <v>10000000</v>
      </c>
      <c r="AS25" s="20">
        <f>AS12*'前提'!$B$4</f>
        <v>10000000</v>
      </c>
      <c r="AT25" s="20">
        <f>AT12*'前提'!$B$4</f>
        <v>10000000</v>
      </c>
      <c r="AU25" s="20">
        <f>AU12*'前提'!$B$4</f>
        <v>10000000</v>
      </c>
      <c r="AV25" s="20">
        <f>AV12*'前提'!$B$4</f>
        <v>10000000</v>
      </c>
      <c r="AW25" s="20">
        <f>AW12*'前提'!$B$4</f>
        <v>10000000</v>
      </c>
      <c r="AX25" s="20">
        <f>AX12*'前提'!$B$4</f>
        <v>10000000</v>
      </c>
      <c r="AY25" s="20">
        <f>AY12*'前提'!$B$4</f>
        <v>10000000</v>
      </c>
      <c r="AZ25" s="20">
        <f>AZ12*'前提'!$B$4</f>
        <v>10000000</v>
      </c>
      <c r="BA25" s="20">
        <f>BA12*'前提'!$B$4</f>
        <v>10000000</v>
      </c>
      <c r="BB25" s="20">
        <f>BB12*'前提'!$B$4</f>
        <v>10000000</v>
      </c>
      <c r="BC25" s="20">
        <f>BC12*'前提'!$B$4</f>
        <v>10000000</v>
      </c>
      <c r="BD25" s="20">
        <f>BD12*'前提'!$B$4</f>
        <v>10000000</v>
      </c>
      <c r="BE25" s="20">
        <f>BE12*'前提'!$B$4</f>
        <v>10000000</v>
      </c>
      <c r="BF25" s="20">
        <f>BF12*'前提'!$B$4</f>
        <v>10000000</v>
      </c>
      <c r="BG25" s="20">
        <f>BG12*'前提'!$B$4</f>
        <v>10000000</v>
      </c>
      <c r="BH25" s="20">
        <f>BH12*'前提'!$B$4</f>
        <v>10000000</v>
      </c>
      <c r="BI25" s="20">
        <f>BI12*'前提'!$B$4</f>
        <v>10000000</v>
      </c>
    </row>
    <row r="26" ht="15.75" customHeight="1">
      <c r="A26" s="4" t="s">
        <v>197</v>
      </c>
      <c r="B26" s="23">
        <f t="shared" ref="B26:BI26" si="4">B24+B25</f>
        <v>875000</v>
      </c>
      <c r="C26" s="23">
        <f t="shared" si="4"/>
        <v>925000</v>
      </c>
      <c r="D26" s="23">
        <f t="shared" si="4"/>
        <v>975000</v>
      </c>
      <c r="E26" s="23">
        <f t="shared" si="4"/>
        <v>1075000</v>
      </c>
      <c r="F26" s="23">
        <f t="shared" si="4"/>
        <v>1175000</v>
      </c>
      <c r="G26" s="23">
        <f t="shared" si="4"/>
        <v>1275000</v>
      </c>
      <c r="H26" s="23">
        <f t="shared" si="4"/>
        <v>1800000</v>
      </c>
      <c r="I26" s="23">
        <f t="shared" si="4"/>
        <v>1925000</v>
      </c>
      <c r="J26" s="23">
        <f t="shared" si="4"/>
        <v>2100000</v>
      </c>
      <c r="K26" s="23">
        <f t="shared" si="4"/>
        <v>2275000</v>
      </c>
      <c r="L26" s="23">
        <f t="shared" si="4"/>
        <v>2450000</v>
      </c>
      <c r="M26" s="23">
        <f t="shared" si="4"/>
        <v>2625000</v>
      </c>
      <c r="N26" s="23">
        <f t="shared" si="4"/>
        <v>4925000</v>
      </c>
      <c r="O26" s="23">
        <f t="shared" si="4"/>
        <v>5275000</v>
      </c>
      <c r="P26" s="23">
        <f t="shared" si="4"/>
        <v>5675000</v>
      </c>
      <c r="Q26" s="23">
        <f t="shared" si="4"/>
        <v>6250000</v>
      </c>
      <c r="R26" s="23">
        <f t="shared" si="4"/>
        <v>6850000</v>
      </c>
      <c r="S26" s="23">
        <f t="shared" si="4"/>
        <v>7450000</v>
      </c>
      <c r="T26" s="23">
        <f t="shared" si="4"/>
        <v>11075000</v>
      </c>
      <c r="U26" s="23">
        <f t="shared" si="4"/>
        <v>11875000</v>
      </c>
      <c r="V26" s="23">
        <f t="shared" si="4"/>
        <v>12900000</v>
      </c>
      <c r="W26" s="23">
        <f t="shared" si="4"/>
        <v>13975000</v>
      </c>
      <c r="X26" s="23">
        <f t="shared" si="4"/>
        <v>15075000</v>
      </c>
      <c r="Y26" s="23">
        <f t="shared" si="4"/>
        <v>16350000</v>
      </c>
      <c r="Z26" s="23">
        <f t="shared" si="4"/>
        <v>17550000</v>
      </c>
      <c r="AA26" s="23">
        <f t="shared" si="4"/>
        <v>18800000</v>
      </c>
      <c r="AB26" s="23">
        <f t="shared" si="4"/>
        <v>20050000</v>
      </c>
      <c r="AC26" s="23">
        <f t="shared" si="4"/>
        <v>21525000</v>
      </c>
      <c r="AD26" s="23">
        <f t="shared" si="4"/>
        <v>23000000</v>
      </c>
      <c r="AE26" s="23">
        <f t="shared" si="4"/>
        <v>24475000</v>
      </c>
      <c r="AF26" s="23">
        <f t="shared" si="4"/>
        <v>25800000</v>
      </c>
      <c r="AG26" s="23">
        <f t="shared" si="4"/>
        <v>27125000</v>
      </c>
      <c r="AH26" s="23">
        <f t="shared" si="4"/>
        <v>28450000</v>
      </c>
      <c r="AI26" s="23">
        <f t="shared" si="4"/>
        <v>29775000</v>
      </c>
      <c r="AJ26" s="23">
        <f t="shared" si="4"/>
        <v>31150000</v>
      </c>
      <c r="AK26" s="23">
        <f t="shared" si="4"/>
        <v>32700000</v>
      </c>
      <c r="AL26" s="23">
        <f t="shared" si="4"/>
        <v>38500000</v>
      </c>
      <c r="AM26" s="23">
        <f t="shared" si="4"/>
        <v>40350000</v>
      </c>
      <c r="AN26" s="23">
        <f t="shared" si="4"/>
        <v>41900000</v>
      </c>
      <c r="AO26" s="23">
        <f t="shared" si="4"/>
        <v>43675000</v>
      </c>
      <c r="AP26" s="23">
        <f t="shared" si="4"/>
        <v>45500000</v>
      </c>
      <c r="AQ26" s="23">
        <f t="shared" si="4"/>
        <v>47375000</v>
      </c>
      <c r="AR26" s="23">
        <f t="shared" si="4"/>
        <v>49300000</v>
      </c>
      <c r="AS26" s="23">
        <f t="shared" si="4"/>
        <v>51325000</v>
      </c>
      <c r="AT26" s="23">
        <f t="shared" si="4"/>
        <v>53125000</v>
      </c>
      <c r="AU26" s="23">
        <f t="shared" si="4"/>
        <v>55100000</v>
      </c>
      <c r="AV26" s="23">
        <f t="shared" si="4"/>
        <v>57075000</v>
      </c>
      <c r="AW26" s="23">
        <f t="shared" si="4"/>
        <v>59050000</v>
      </c>
      <c r="AX26" s="23">
        <f t="shared" si="4"/>
        <v>61025000</v>
      </c>
      <c r="AY26" s="23">
        <f t="shared" si="4"/>
        <v>63100000</v>
      </c>
      <c r="AZ26" s="23">
        <f t="shared" si="4"/>
        <v>64975000</v>
      </c>
      <c r="BA26" s="23">
        <f t="shared" si="4"/>
        <v>66850000</v>
      </c>
      <c r="BB26" s="23">
        <f t="shared" si="4"/>
        <v>68725000</v>
      </c>
      <c r="BC26" s="23">
        <f t="shared" si="4"/>
        <v>70775000</v>
      </c>
      <c r="BD26" s="23">
        <f t="shared" si="4"/>
        <v>72825000</v>
      </c>
      <c r="BE26" s="23">
        <f t="shared" si="4"/>
        <v>74625000</v>
      </c>
      <c r="BF26" s="23">
        <f t="shared" si="4"/>
        <v>76350000</v>
      </c>
      <c r="BG26" s="23">
        <f t="shared" si="4"/>
        <v>78075000</v>
      </c>
      <c r="BH26" s="23">
        <f t="shared" si="4"/>
        <v>79975000</v>
      </c>
      <c r="BI26" s="23">
        <f t="shared" si="4"/>
        <v>81875000</v>
      </c>
    </row>
    <row r="27" ht="15.75" customHeight="1">
      <c r="A27" s="4" t="s">
        <v>198</v>
      </c>
      <c r="B27" s="20">
        <f t="shared" ref="B27:BI27" si="5">B24</f>
        <v>75000</v>
      </c>
      <c r="C27" s="20">
        <f t="shared" si="5"/>
        <v>125000</v>
      </c>
      <c r="D27" s="20">
        <f t="shared" si="5"/>
        <v>175000</v>
      </c>
      <c r="E27" s="20">
        <f t="shared" si="5"/>
        <v>275000</v>
      </c>
      <c r="F27" s="20">
        <f t="shared" si="5"/>
        <v>375000</v>
      </c>
      <c r="G27" s="20">
        <f t="shared" si="5"/>
        <v>475000</v>
      </c>
      <c r="H27" s="20">
        <f t="shared" si="5"/>
        <v>600000</v>
      </c>
      <c r="I27" s="20">
        <f t="shared" si="5"/>
        <v>725000</v>
      </c>
      <c r="J27" s="20">
        <f t="shared" si="5"/>
        <v>900000</v>
      </c>
      <c r="K27" s="20">
        <f t="shared" si="5"/>
        <v>1075000</v>
      </c>
      <c r="L27" s="20">
        <f t="shared" si="5"/>
        <v>1250000</v>
      </c>
      <c r="M27" s="20">
        <f t="shared" si="5"/>
        <v>1425000</v>
      </c>
      <c r="N27" s="20">
        <f t="shared" si="5"/>
        <v>1725000</v>
      </c>
      <c r="O27" s="20">
        <f t="shared" si="5"/>
        <v>2075000</v>
      </c>
      <c r="P27" s="20">
        <f t="shared" si="5"/>
        <v>2475000</v>
      </c>
      <c r="Q27" s="20">
        <f t="shared" si="5"/>
        <v>3050000</v>
      </c>
      <c r="R27" s="20">
        <f t="shared" si="5"/>
        <v>3650000</v>
      </c>
      <c r="S27" s="20">
        <f t="shared" si="5"/>
        <v>4250000</v>
      </c>
      <c r="T27" s="20">
        <f t="shared" si="5"/>
        <v>5075000</v>
      </c>
      <c r="U27" s="20">
        <f t="shared" si="5"/>
        <v>5875000</v>
      </c>
      <c r="V27" s="20">
        <f t="shared" si="5"/>
        <v>6900000</v>
      </c>
      <c r="W27" s="20">
        <f t="shared" si="5"/>
        <v>7975000</v>
      </c>
      <c r="X27" s="20">
        <f t="shared" si="5"/>
        <v>9075000</v>
      </c>
      <c r="Y27" s="20">
        <f t="shared" si="5"/>
        <v>10350000</v>
      </c>
      <c r="Z27" s="20">
        <f t="shared" si="5"/>
        <v>11550000</v>
      </c>
      <c r="AA27" s="20">
        <f t="shared" si="5"/>
        <v>12800000</v>
      </c>
      <c r="AB27" s="20">
        <f t="shared" si="5"/>
        <v>14050000</v>
      </c>
      <c r="AC27" s="20">
        <f t="shared" si="5"/>
        <v>15525000</v>
      </c>
      <c r="AD27" s="20">
        <f t="shared" si="5"/>
        <v>17000000</v>
      </c>
      <c r="AE27" s="20">
        <f t="shared" si="5"/>
        <v>18475000</v>
      </c>
      <c r="AF27" s="20">
        <f t="shared" si="5"/>
        <v>19800000</v>
      </c>
      <c r="AG27" s="20">
        <f t="shared" si="5"/>
        <v>21125000</v>
      </c>
      <c r="AH27" s="20">
        <f t="shared" si="5"/>
        <v>22450000</v>
      </c>
      <c r="AI27" s="20">
        <f t="shared" si="5"/>
        <v>23775000</v>
      </c>
      <c r="AJ27" s="20">
        <f t="shared" si="5"/>
        <v>25150000</v>
      </c>
      <c r="AK27" s="20">
        <f t="shared" si="5"/>
        <v>26700000</v>
      </c>
      <c r="AL27" s="20">
        <f t="shared" si="5"/>
        <v>28500000</v>
      </c>
      <c r="AM27" s="20">
        <f t="shared" si="5"/>
        <v>30350000</v>
      </c>
      <c r="AN27" s="20">
        <f t="shared" si="5"/>
        <v>31900000</v>
      </c>
      <c r="AO27" s="20">
        <f t="shared" si="5"/>
        <v>33675000</v>
      </c>
      <c r="AP27" s="20">
        <f t="shared" si="5"/>
        <v>35500000</v>
      </c>
      <c r="AQ27" s="20">
        <f t="shared" si="5"/>
        <v>37375000</v>
      </c>
      <c r="AR27" s="20">
        <f t="shared" si="5"/>
        <v>39300000</v>
      </c>
      <c r="AS27" s="20">
        <f t="shared" si="5"/>
        <v>41325000</v>
      </c>
      <c r="AT27" s="20">
        <f t="shared" si="5"/>
        <v>43125000</v>
      </c>
      <c r="AU27" s="20">
        <f t="shared" si="5"/>
        <v>45100000</v>
      </c>
      <c r="AV27" s="20">
        <f t="shared" si="5"/>
        <v>47075000</v>
      </c>
      <c r="AW27" s="20">
        <f t="shared" si="5"/>
        <v>49050000</v>
      </c>
      <c r="AX27" s="20">
        <f t="shared" si="5"/>
        <v>51025000</v>
      </c>
      <c r="AY27" s="20">
        <f t="shared" si="5"/>
        <v>53100000</v>
      </c>
      <c r="AZ27" s="20">
        <f t="shared" si="5"/>
        <v>54975000</v>
      </c>
      <c r="BA27" s="20">
        <f t="shared" si="5"/>
        <v>56850000</v>
      </c>
      <c r="BB27" s="20">
        <f t="shared" si="5"/>
        <v>58725000</v>
      </c>
      <c r="BC27" s="20">
        <f t="shared" si="5"/>
        <v>60775000</v>
      </c>
      <c r="BD27" s="20">
        <f t="shared" si="5"/>
        <v>62825000</v>
      </c>
      <c r="BE27" s="20">
        <f t="shared" si="5"/>
        <v>64625000</v>
      </c>
      <c r="BF27" s="20">
        <f t="shared" si="5"/>
        <v>66350000</v>
      </c>
      <c r="BG27" s="20">
        <f t="shared" si="5"/>
        <v>68075000</v>
      </c>
      <c r="BH27" s="20">
        <f t="shared" si="5"/>
        <v>69975000</v>
      </c>
      <c r="BI27" s="20">
        <f t="shared" si="5"/>
        <v>71875000</v>
      </c>
    </row>
    <row r="28" ht="15.75" customHeight="1"/>
    <row r="29" ht="15.75" customHeight="1">
      <c r="A29" s="2" t="s">
        <v>199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ht="15.75" customHeight="1">
      <c r="A30" s="4" t="s">
        <v>22</v>
      </c>
      <c r="B30" s="19">
        <f>'前提'!$B$20</f>
        <v>350000</v>
      </c>
      <c r="C30" s="19">
        <f>'前提'!$B$20</f>
        <v>350000</v>
      </c>
      <c r="D30" s="19">
        <f>'前提'!$B$20</f>
        <v>350000</v>
      </c>
      <c r="E30" s="19">
        <f>'前提'!$B$20</f>
        <v>350000</v>
      </c>
      <c r="F30" s="19">
        <f>'前提'!$B$20</f>
        <v>350000</v>
      </c>
      <c r="G30" s="19">
        <f>'前提'!$B$20</f>
        <v>350000</v>
      </c>
      <c r="H30" s="19">
        <f>'前提'!$B$20</f>
        <v>350000</v>
      </c>
      <c r="I30" s="19">
        <f>'前提'!$B$20</f>
        <v>350000</v>
      </c>
      <c r="J30" s="19">
        <f>'前提'!$B$20</f>
        <v>350000</v>
      </c>
      <c r="K30" s="19">
        <f>'前提'!$B$20</f>
        <v>350000</v>
      </c>
      <c r="L30" s="19">
        <f>'前提'!$B$20</f>
        <v>350000</v>
      </c>
      <c r="M30" s="19">
        <f>'前提'!$B$20</f>
        <v>350000</v>
      </c>
      <c r="N30" s="19">
        <f>'前提'!$B$20</f>
        <v>350000</v>
      </c>
      <c r="O30" s="19">
        <f>'前提'!$B$20</f>
        <v>350000</v>
      </c>
      <c r="P30" s="19">
        <f>'前提'!$B$20</f>
        <v>350000</v>
      </c>
      <c r="Q30" s="19">
        <f>'前提'!$B$20</f>
        <v>350000</v>
      </c>
      <c r="R30" s="19">
        <f>'前提'!$B$20</f>
        <v>350000</v>
      </c>
      <c r="S30" s="19">
        <f>'前提'!$B$20</f>
        <v>350000</v>
      </c>
      <c r="T30" s="19">
        <f>'前提'!$B$20</f>
        <v>350000</v>
      </c>
      <c r="U30" s="19">
        <f>'前提'!$B$20</f>
        <v>350000</v>
      </c>
      <c r="V30" s="19">
        <f>'前提'!$B$20</f>
        <v>350000</v>
      </c>
      <c r="W30" s="19">
        <f>'前提'!$B$20</f>
        <v>350000</v>
      </c>
      <c r="X30" s="19">
        <f>'前提'!$B$20</f>
        <v>350000</v>
      </c>
      <c r="Y30" s="19">
        <f>'前提'!$B$20</f>
        <v>350000</v>
      </c>
      <c r="Z30" s="19">
        <f>'前提'!$B$20</f>
        <v>350000</v>
      </c>
      <c r="AA30" s="19">
        <f>'前提'!$B$20</f>
        <v>350000</v>
      </c>
      <c r="AB30" s="19">
        <f>'前提'!$B$20</f>
        <v>350000</v>
      </c>
      <c r="AC30" s="19">
        <f>'前提'!$B$20</f>
        <v>350000</v>
      </c>
      <c r="AD30" s="19">
        <f>'前提'!$B$20</f>
        <v>350000</v>
      </c>
      <c r="AE30" s="19">
        <f>'前提'!$B$20</f>
        <v>350000</v>
      </c>
      <c r="AF30" s="19">
        <f>'前提'!$B$20</f>
        <v>350000</v>
      </c>
      <c r="AG30" s="19">
        <f>'前提'!$B$20</f>
        <v>350000</v>
      </c>
      <c r="AH30" s="19">
        <f>'前提'!$B$20</f>
        <v>350000</v>
      </c>
      <c r="AI30" s="19">
        <f>'前提'!$B$20</f>
        <v>350000</v>
      </c>
      <c r="AJ30" s="19">
        <f>'前提'!$B$20</f>
        <v>350000</v>
      </c>
      <c r="AK30" s="19">
        <f>'前提'!$B$20</f>
        <v>350000</v>
      </c>
      <c r="AL30" s="19">
        <f>'前提'!$B$20</f>
        <v>350000</v>
      </c>
      <c r="AM30" s="19">
        <f>'前提'!$B$20</f>
        <v>350000</v>
      </c>
      <c r="AN30" s="19">
        <f>'前提'!$B$20</f>
        <v>350000</v>
      </c>
      <c r="AO30" s="19">
        <f>'前提'!$B$20</f>
        <v>350000</v>
      </c>
      <c r="AP30" s="19">
        <f>'前提'!$B$20</f>
        <v>350000</v>
      </c>
      <c r="AQ30" s="19">
        <f>'前提'!$B$20</f>
        <v>350000</v>
      </c>
      <c r="AR30" s="19">
        <f>'前提'!$B$20</f>
        <v>350000</v>
      </c>
      <c r="AS30" s="19">
        <f>'前提'!$B$20</f>
        <v>350000</v>
      </c>
      <c r="AT30" s="19">
        <f>'前提'!$B$20</f>
        <v>350000</v>
      </c>
      <c r="AU30" s="19">
        <f>'前提'!$B$20</f>
        <v>350000</v>
      </c>
      <c r="AV30" s="19">
        <f>'前提'!$B$20</f>
        <v>350000</v>
      </c>
      <c r="AW30" s="19">
        <f>'前提'!$B$20</f>
        <v>350000</v>
      </c>
      <c r="AX30" s="19">
        <f>'前提'!$B$20</f>
        <v>350000</v>
      </c>
      <c r="AY30" s="19">
        <f>'前提'!$B$20</f>
        <v>350000</v>
      </c>
      <c r="AZ30" s="19">
        <f>'前提'!$B$20</f>
        <v>350000</v>
      </c>
      <c r="BA30" s="19">
        <f>'前提'!$B$20</f>
        <v>350000</v>
      </c>
      <c r="BB30" s="19">
        <f>'前提'!$B$20</f>
        <v>350000</v>
      </c>
      <c r="BC30" s="19">
        <f>'前提'!$B$20</f>
        <v>350000</v>
      </c>
      <c r="BD30" s="19">
        <f>'前提'!$B$20</f>
        <v>350000</v>
      </c>
      <c r="BE30" s="19">
        <f>'前提'!$B$20</f>
        <v>350000</v>
      </c>
      <c r="BF30" s="19">
        <f>'前提'!$B$20</f>
        <v>350000</v>
      </c>
      <c r="BG30" s="19">
        <f>'前提'!$B$20</f>
        <v>350000</v>
      </c>
      <c r="BH30" s="19">
        <f>'前提'!$B$20</f>
        <v>350000</v>
      </c>
      <c r="BI30" s="19">
        <f>'前提'!$B$20</f>
        <v>350000</v>
      </c>
    </row>
    <row r="31" ht="15.75" customHeight="1">
      <c r="A31" s="4" t="s">
        <v>23</v>
      </c>
      <c r="B31" s="19">
        <f>'前提'!$B$21*'前提'!$B$31</f>
        <v>350000</v>
      </c>
      <c r="C31" s="19">
        <f>'前提'!$B$21*'前提'!$B$31</f>
        <v>350000</v>
      </c>
      <c r="D31" s="19">
        <f>'前提'!$B$21*'前提'!$B$31</f>
        <v>350000</v>
      </c>
      <c r="E31" s="19">
        <f>'前提'!$B$21*'前提'!$B$31</f>
        <v>350000</v>
      </c>
      <c r="F31" s="19">
        <f>'前提'!$B$21*'前提'!$B$31</f>
        <v>350000</v>
      </c>
      <c r="G31" s="19">
        <f>'前提'!$B$21*'前提'!$B$31</f>
        <v>350000</v>
      </c>
      <c r="H31" s="19">
        <f>'前提'!$B$21*'前提'!$B$32</f>
        <v>700000</v>
      </c>
      <c r="I31" s="19">
        <f>'前提'!$B$21*'前提'!$B$32</f>
        <v>700000</v>
      </c>
      <c r="J31" s="19">
        <f>'前提'!$B$21*'前提'!$B$32</f>
        <v>700000</v>
      </c>
      <c r="K31" s="19">
        <f>'前提'!$B$21*'前提'!$B$32</f>
        <v>700000</v>
      </c>
      <c r="L31" s="19">
        <f>'前提'!$B$21*'前提'!$B$32</f>
        <v>700000</v>
      </c>
      <c r="M31" s="19">
        <f>'前提'!$B$21*'前提'!$B$32</f>
        <v>700000</v>
      </c>
      <c r="N31" s="19">
        <f>'前提'!$B$21*'前提'!$B$33</f>
        <v>700000</v>
      </c>
      <c r="O31" s="19">
        <f>'前提'!$B$21*'前提'!$B$33</f>
        <v>700000</v>
      </c>
      <c r="P31" s="19">
        <f>'前提'!$B$21*'前提'!$B$33</f>
        <v>700000</v>
      </c>
      <c r="Q31" s="19">
        <f>'前提'!$B$21*'前提'!$B$33</f>
        <v>700000</v>
      </c>
      <c r="R31" s="19">
        <f>'前提'!$B$21*'前提'!$B$33</f>
        <v>700000</v>
      </c>
      <c r="S31" s="19">
        <f>'前提'!$B$21*'前提'!$B$33</f>
        <v>700000</v>
      </c>
      <c r="T31" s="19">
        <f>'前提'!$B$21*'前提'!$B$34</f>
        <v>700000</v>
      </c>
      <c r="U31" s="19">
        <f>'前提'!$B$21*'前提'!$B$34</f>
        <v>700000</v>
      </c>
      <c r="V31" s="19">
        <f>'前提'!$B$21*'前提'!$B$34</f>
        <v>700000</v>
      </c>
      <c r="W31" s="19">
        <f>'前提'!$B$21*'前提'!$B$34</f>
        <v>700000</v>
      </c>
      <c r="X31" s="19">
        <f>'前提'!$B$21*'前提'!$B$34</f>
        <v>700000</v>
      </c>
      <c r="Y31" s="19">
        <f>'前提'!$B$21*'前提'!$B$34</f>
        <v>700000</v>
      </c>
      <c r="Z31" s="19">
        <f>'前提'!$B$21*'前提'!$B$34</f>
        <v>700000</v>
      </c>
      <c r="AA31" s="19">
        <f>'前提'!$B$21*'前提'!$B$34</f>
        <v>700000</v>
      </c>
      <c r="AB31" s="19">
        <f>'前提'!$B$21*'前提'!$B$34</f>
        <v>700000</v>
      </c>
      <c r="AC31" s="19">
        <f>'前提'!$B$21*'前提'!$B$34</f>
        <v>700000</v>
      </c>
      <c r="AD31" s="19">
        <f>'前提'!$B$21*'前提'!$B$34</f>
        <v>700000</v>
      </c>
      <c r="AE31" s="19">
        <f>'前提'!$B$21*'前提'!$B$34</f>
        <v>700000</v>
      </c>
      <c r="AF31" s="19">
        <f>'前提'!$B$21*'前提'!$B$34</f>
        <v>700000</v>
      </c>
      <c r="AG31" s="19">
        <f>'前提'!$B$21*'前提'!$B$34</f>
        <v>700000</v>
      </c>
      <c r="AH31" s="19">
        <f>'前提'!$B$21*'前提'!$B$34</f>
        <v>700000</v>
      </c>
      <c r="AI31" s="19">
        <f>'前提'!$B$21*'前提'!$B$34</f>
        <v>700000</v>
      </c>
      <c r="AJ31" s="19">
        <f>'前提'!$B$21*'前提'!$B$34</f>
        <v>700000</v>
      </c>
      <c r="AK31" s="19">
        <f>'前提'!$B$21*'前提'!$B$34</f>
        <v>700000</v>
      </c>
      <c r="AL31" s="19">
        <f>'前提'!$B$21*'前提'!$B$35</f>
        <v>700000</v>
      </c>
      <c r="AM31" s="19">
        <f>'前提'!$B$21*'前提'!$B$35</f>
        <v>700000</v>
      </c>
      <c r="AN31" s="19">
        <f>'前提'!$B$21*'前提'!$B$35</f>
        <v>700000</v>
      </c>
      <c r="AO31" s="19">
        <f>'前提'!$B$21*'前提'!$B$35</f>
        <v>700000</v>
      </c>
      <c r="AP31" s="19">
        <f>'前提'!$B$21*'前提'!$B$35</f>
        <v>700000</v>
      </c>
      <c r="AQ31" s="19">
        <f>'前提'!$B$21*'前提'!$B$35</f>
        <v>700000</v>
      </c>
      <c r="AR31" s="19">
        <f>'前提'!$B$21*'前提'!$B$35</f>
        <v>700000</v>
      </c>
      <c r="AS31" s="19">
        <f>'前提'!$B$21*'前提'!$B$35</f>
        <v>700000</v>
      </c>
      <c r="AT31" s="19">
        <f>'前提'!$B$21*'前提'!$B$35</f>
        <v>700000</v>
      </c>
      <c r="AU31" s="19">
        <f>'前提'!$B$21*'前提'!$B$35</f>
        <v>700000</v>
      </c>
      <c r="AV31" s="19">
        <f>'前提'!$B$21*'前提'!$B$35</f>
        <v>700000</v>
      </c>
      <c r="AW31" s="19">
        <f>'前提'!$B$21*'前提'!$B$35</f>
        <v>700000</v>
      </c>
      <c r="AX31" s="19">
        <f>'前提'!$B$21*'前提'!$B$35</f>
        <v>700000</v>
      </c>
      <c r="AY31" s="19">
        <f>'前提'!$B$21*'前提'!$B$35</f>
        <v>700000</v>
      </c>
      <c r="AZ31" s="19">
        <f>'前提'!$B$21*'前提'!$B$35</f>
        <v>700000</v>
      </c>
      <c r="BA31" s="19">
        <f>'前提'!$B$21*'前提'!$B$35</f>
        <v>700000</v>
      </c>
      <c r="BB31" s="19">
        <f>'前提'!$B$21*'前提'!$B$35</f>
        <v>700000</v>
      </c>
      <c r="BC31" s="19">
        <f>'前提'!$B$21*'前提'!$B$35</f>
        <v>700000</v>
      </c>
      <c r="BD31" s="19">
        <f>'前提'!$B$21*'前提'!$B$35</f>
        <v>700000</v>
      </c>
      <c r="BE31" s="19">
        <f>'前提'!$B$21*'前提'!$B$35</f>
        <v>700000</v>
      </c>
      <c r="BF31" s="19">
        <f>'前提'!$B$21*'前提'!$B$35</f>
        <v>700000</v>
      </c>
      <c r="BG31" s="19">
        <f>'前提'!$B$21*'前提'!$B$35</f>
        <v>700000</v>
      </c>
      <c r="BH31" s="19">
        <f>'前提'!$B$21*'前提'!$B$35</f>
        <v>700000</v>
      </c>
      <c r="BI31" s="19">
        <f>'前提'!$B$21*'前提'!$B$35</f>
        <v>700000</v>
      </c>
    </row>
    <row r="32" ht="15.75" customHeight="1">
      <c r="A32" s="4" t="s">
        <v>200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  <c r="G32" s="20">
        <v>0.0</v>
      </c>
      <c r="H32" s="20">
        <v>0.0</v>
      </c>
      <c r="I32" s="20">
        <v>0.0</v>
      </c>
      <c r="J32" s="20">
        <v>0.0</v>
      </c>
      <c r="K32" s="20">
        <v>0.0</v>
      </c>
      <c r="L32" s="20">
        <v>0.0</v>
      </c>
      <c r="M32" s="20">
        <v>0.0</v>
      </c>
      <c r="N32" s="20">
        <v>0.0</v>
      </c>
      <c r="O32" s="20">
        <v>0.0</v>
      </c>
      <c r="P32" s="20">
        <v>0.0</v>
      </c>
      <c r="Q32" s="20">
        <v>0.0</v>
      </c>
      <c r="R32" s="20">
        <v>0.0</v>
      </c>
      <c r="S32" s="20">
        <v>0.0</v>
      </c>
      <c r="T32" s="22">
        <v>300000.0</v>
      </c>
      <c r="U32" s="22">
        <v>300000.0</v>
      </c>
      <c r="V32" s="22">
        <v>300000.0</v>
      </c>
      <c r="W32" s="22">
        <v>300000.0</v>
      </c>
      <c r="X32" s="22">
        <v>300000.0</v>
      </c>
      <c r="Y32" s="22">
        <v>300000.0</v>
      </c>
      <c r="Z32" s="22">
        <v>300000.0</v>
      </c>
      <c r="AA32" s="22">
        <v>300000.0</v>
      </c>
      <c r="AB32" s="22">
        <v>300000.0</v>
      </c>
      <c r="AC32" s="22">
        <v>300000.0</v>
      </c>
      <c r="AD32" s="22">
        <v>300000.0</v>
      </c>
      <c r="AE32" s="22">
        <v>300000.0</v>
      </c>
      <c r="AF32" s="22">
        <v>300000.0</v>
      </c>
      <c r="AG32" s="22">
        <v>300000.0</v>
      </c>
      <c r="AH32" s="22">
        <v>300000.0</v>
      </c>
      <c r="AI32" s="22">
        <v>300000.0</v>
      </c>
      <c r="AJ32" s="22">
        <v>300000.0</v>
      </c>
      <c r="AK32" s="22">
        <v>300000.0</v>
      </c>
      <c r="AL32" s="22">
        <v>500000.0</v>
      </c>
      <c r="AM32" s="22">
        <v>500000.0</v>
      </c>
      <c r="AN32" s="22">
        <v>500000.0</v>
      </c>
      <c r="AO32" s="22">
        <v>500000.0</v>
      </c>
      <c r="AP32" s="22">
        <v>500000.0</v>
      </c>
      <c r="AQ32" s="22">
        <v>500000.0</v>
      </c>
      <c r="AR32" s="22">
        <v>500000.0</v>
      </c>
      <c r="AS32" s="22">
        <v>500000.0</v>
      </c>
      <c r="AT32" s="22">
        <v>500000.0</v>
      </c>
      <c r="AU32" s="22">
        <v>500000.0</v>
      </c>
      <c r="AV32" s="22">
        <v>500000.0</v>
      </c>
      <c r="AW32" s="22">
        <v>500000.0</v>
      </c>
      <c r="AX32" s="22">
        <v>500000.0</v>
      </c>
      <c r="AY32" s="22">
        <v>500000.0</v>
      </c>
      <c r="AZ32" s="22">
        <v>500000.0</v>
      </c>
      <c r="BA32" s="22">
        <v>500000.0</v>
      </c>
      <c r="BB32" s="22">
        <v>500000.0</v>
      </c>
      <c r="BC32" s="22">
        <v>500000.0</v>
      </c>
      <c r="BD32" s="22">
        <v>500000.0</v>
      </c>
      <c r="BE32" s="22">
        <v>500000.0</v>
      </c>
      <c r="BF32" s="22">
        <v>500000.0</v>
      </c>
      <c r="BG32" s="22">
        <v>500000.0</v>
      </c>
      <c r="BH32" s="22">
        <v>500000.0</v>
      </c>
      <c r="BI32" s="22">
        <v>500000.0</v>
      </c>
    </row>
    <row r="33" ht="15.75" customHeight="1">
      <c r="A33" s="4" t="s">
        <v>201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  <c r="G33" s="20">
        <v>0.0</v>
      </c>
      <c r="H33" s="19">
        <f>'前提'!$B$22*'前提'!$C$32</f>
        <v>200000</v>
      </c>
      <c r="I33" s="19">
        <f>'前提'!$B$22*'前提'!$C$32</f>
        <v>200000</v>
      </c>
      <c r="J33" s="19">
        <f>'前提'!$B$22*'前提'!$C$32</f>
        <v>200000</v>
      </c>
      <c r="K33" s="19">
        <f>'前提'!$B$22*'前提'!$C$32</f>
        <v>200000</v>
      </c>
      <c r="L33" s="19">
        <f>'前提'!$B$22*'前提'!$C$32</f>
        <v>200000</v>
      </c>
      <c r="M33" s="19">
        <f>'前提'!$B$22*'前提'!$C$32</f>
        <v>200000</v>
      </c>
      <c r="N33" s="19">
        <f>'前提'!$B$22*'前提'!$C$33</f>
        <v>200000</v>
      </c>
      <c r="O33" s="19">
        <f>'前提'!$B$22*'前提'!$C$33</f>
        <v>200000</v>
      </c>
      <c r="P33" s="19">
        <f>'前提'!$B$22*'前提'!$C$33</f>
        <v>200000</v>
      </c>
      <c r="Q33" s="19">
        <f>'前提'!$B$22*'前提'!$C$33</f>
        <v>200000</v>
      </c>
      <c r="R33" s="19">
        <f>'前提'!$B$22*'前提'!$C$33</f>
        <v>200000</v>
      </c>
      <c r="S33" s="19">
        <f>'前提'!$B$22*'前提'!$C$33</f>
        <v>200000</v>
      </c>
      <c r="T33" s="19">
        <f>'前提'!$B$22*'前提'!$C$34</f>
        <v>400000</v>
      </c>
      <c r="U33" s="19">
        <f>'前提'!$B$22*'前提'!$C$34</f>
        <v>400000</v>
      </c>
      <c r="V33" s="19">
        <f>'前提'!$B$22*'前提'!$C$34</f>
        <v>400000</v>
      </c>
      <c r="W33" s="19">
        <f>'前提'!$B$22*'前提'!$C$34</f>
        <v>400000</v>
      </c>
      <c r="X33" s="19">
        <f>'前提'!$B$22*'前提'!$C$34</f>
        <v>400000</v>
      </c>
      <c r="Y33" s="19">
        <f>'前提'!$B$22*'前提'!$C$34</f>
        <v>400000</v>
      </c>
      <c r="Z33" s="19">
        <f>'前提'!$B$22*'前提'!$C$34</f>
        <v>400000</v>
      </c>
      <c r="AA33" s="19">
        <f>'前提'!$B$22*'前提'!$C$34</f>
        <v>400000</v>
      </c>
      <c r="AB33" s="19">
        <f>'前提'!$B$22*'前提'!$C$34</f>
        <v>400000</v>
      </c>
      <c r="AC33" s="19">
        <f>'前提'!$B$22*'前提'!$C$34</f>
        <v>400000</v>
      </c>
      <c r="AD33" s="19">
        <f>'前提'!$B$22*'前提'!$C$34</f>
        <v>400000</v>
      </c>
      <c r="AE33" s="19">
        <f>'前提'!$B$22*'前提'!$C$34</f>
        <v>400000</v>
      </c>
      <c r="AF33" s="19">
        <f>'前提'!$B$22*'前提'!$C$34</f>
        <v>400000</v>
      </c>
      <c r="AG33" s="19">
        <f>'前提'!$B$22*'前提'!$C$34</f>
        <v>400000</v>
      </c>
      <c r="AH33" s="19">
        <f>'前提'!$B$22*'前提'!$C$34</f>
        <v>400000</v>
      </c>
      <c r="AI33" s="19">
        <f>'前提'!$B$22*'前提'!$C$34</f>
        <v>400000</v>
      </c>
      <c r="AJ33" s="19">
        <f>'前提'!$B$22*'前提'!$C$34</f>
        <v>400000</v>
      </c>
      <c r="AK33" s="19">
        <f>'前提'!$B$22*'前提'!$C$34</f>
        <v>400000</v>
      </c>
      <c r="AL33" s="19">
        <f>'前提'!$B$22*'前提'!$C$35</f>
        <v>800000</v>
      </c>
      <c r="AM33" s="19">
        <f>'前提'!$B$22*'前提'!$C$35</f>
        <v>800000</v>
      </c>
      <c r="AN33" s="19">
        <f>'前提'!$B$22*'前提'!$C$35</f>
        <v>800000</v>
      </c>
      <c r="AO33" s="19">
        <f>'前提'!$B$22*'前提'!$C$35</f>
        <v>800000</v>
      </c>
      <c r="AP33" s="19">
        <f>'前提'!$B$22*'前提'!$C$35</f>
        <v>800000</v>
      </c>
      <c r="AQ33" s="19">
        <f>'前提'!$B$22*'前提'!$C$35</f>
        <v>800000</v>
      </c>
      <c r="AR33" s="19">
        <f>'前提'!$B$22*'前提'!$C$35</f>
        <v>800000</v>
      </c>
      <c r="AS33" s="19">
        <f>'前提'!$B$22*'前提'!$C$35</f>
        <v>800000</v>
      </c>
      <c r="AT33" s="19">
        <f>'前提'!$B$22*'前提'!$C$35</f>
        <v>800000</v>
      </c>
      <c r="AU33" s="19">
        <f>'前提'!$B$22*'前提'!$C$35</f>
        <v>800000</v>
      </c>
      <c r="AV33" s="19">
        <f>'前提'!$B$22*'前提'!$C$35</f>
        <v>800000</v>
      </c>
      <c r="AW33" s="19">
        <f>'前提'!$B$22*'前提'!$C$35</f>
        <v>800000</v>
      </c>
      <c r="AX33" s="19">
        <f>'前提'!$B$22*'前提'!$C$35</f>
        <v>800000</v>
      </c>
      <c r="AY33" s="19">
        <f>'前提'!$B$22*'前提'!$C$35</f>
        <v>800000</v>
      </c>
      <c r="AZ33" s="19">
        <f>'前提'!$B$22*'前提'!$C$35</f>
        <v>800000</v>
      </c>
      <c r="BA33" s="19">
        <f>'前提'!$B$22*'前提'!$C$35</f>
        <v>800000</v>
      </c>
      <c r="BB33" s="19">
        <f>'前提'!$B$22*'前提'!$C$35</f>
        <v>800000</v>
      </c>
      <c r="BC33" s="19">
        <f>'前提'!$B$22*'前提'!$C$35</f>
        <v>800000</v>
      </c>
      <c r="BD33" s="19">
        <f>'前提'!$B$22*'前提'!$C$35</f>
        <v>800000</v>
      </c>
      <c r="BE33" s="19">
        <f>'前提'!$B$22*'前提'!$C$35</f>
        <v>800000</v>
      </c>
      <c r="BF33" s="19">
        <f>'前提'!$B$22*'前提'!$C$35</f>
        <v>800000</v>
      </c>
      <c r="BG33" s="19">
        <f>'前提'!$B$22*'前提'!$C$35</f>
        <v>800000</v>
      </c>
      <c r="BH33" s="19">
        <f>'前提'!$B$22*'前提'!$C$35</f>
        <v>800000</v>
      </c>
      <c r="BI33" s="19">
        <f>'前提'!$B$22*'前提'!$C$35</f>
        <v>800000</v>
      </c>
    </row>
    <row r="34" ht="15.75" customHeight="1">
      <c r="A34" s="4" t="s">
        <v>202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19">
        <f>'前提'!$B$23*'前提'!$D$32</f>
        <v>400000</v>
      </c>
      <c r="I34" s="19">
        <f>'前提'!$B$23*'前提'!$D$32</f>
        <v>400000</v>
      </c>
      <c r="J34" s="19">
        <f>'前提'!$B$23*'前提'!$D$32</f>
        <v>400000</v>
      </c>
      <c r="K34" s="19">
        <f>'前提'!$B$23*'前提'!$D$32</f>
        <v>400000</v>
      </c>
      <c r="L34" s="19">
        <f>'前提'!$B$23*'前提'!$D$32</f>
        <v>400000</v>
      </c>
      <c r="M34" s="19">
        <f>'前提'!$B$23*'前提'!$D$32</f>
        <v>400000</v>
      </c>
      <c r="N34" s="19">
        <f>'前提'!$B$23*'前提'!$D$33</f>
        <v>400000</v>
      </c>
      <c r="O34" s="19">
        <f>'前提'!$B$23*'前提'!$D$33</f>
        <v>400000</v>
      </c>
      <c r="P34" s="19">
        <f>'前提'!$B$23*'前提'!$D$33</f>
        <v>400000</v>
      </c>
      <c r="Q34" s="19">
        <f>'前提'!$B$23*'前提'!$D$33</f>
        <v>400000</v>
      </c>
      <c r="R34" s="19">
        <f>'前提'!$B$23*'前提'!$D$33</f>
        <v>400000</v>
      </c>
      <c r="S34" s="19">
        <f>'前提'!$B$23*'前提'!$D$33</f>
        <v>400000</v>
      </c>
      <c r="T34" s="19">
        <f>'前提'!$B$23*'前提'!$D$34</f>
        <v>800000</v>
      </c>
      <c r="U34" s="19">
        <f>'前提'!$B$23*'前提'!$D$34</f>
        <v>800000</v>
      </c>
      <c r="V34" s="19">
        <f>'前提'!$B$23*'前提'!$D$34</f>
        <v>800000</v>
      </c>
      <c r="W34" s="19">
        <f>'前提'!$B$23*'前提'!$D$34</f>
        <v>800000</v>
      </c>
      <c r="X34" s="19">
        <f>'前提'!$B$23*'前提'!$D$34</f>
        <v>800000</v>
      </c>
      <c r="Y34" s="19">
        <f>'前提'!$B$23*'前提'!$D$34</f>
        <v>800000</v>
      </c>
      <c r="Z34" s="19">
        <f>'前提'!$B$23*'前提'!$D$34</f>
        <v>800000</v>
      </c>
      <c r="AA34" s="19">
        <f>'前提'!$B$23*'前提'!$D$34</f>
        <v>800000</v>
      </c>
      <c r="AB34" s="19">
        <f>'前提'!$B$23*'前提'!$D$34</f>
        <v>800000</v>
      </c>
      <c r="AC34" s="19">
        <f>'前提'!$B$23*'前提'!$D$34</f>
        <v>800000</v>
      </c>
      <c r="AD34" s="19">
        <f>'前提'!$B$23*'前提'!$D$34</f>
        <v>800000</v>
      </c>
      <c r="AE34" s="19">
        <f>'前提'!$B$23*'前提'!$D$34</f>
        <v>800000</v>
      </c>
      <c r="AF34" s="19">
        <f>'前提'!$B$23*'前提'!$D$34</f>
        <v>800000</v>
      </c>
      <c r="AG34" s="19">
        <f>'前提'!$B$23*'前提'!$D$34</f>
        <v>800000</v>
      </c>
      <c r="AH34" s="19">
        <f>'前提'!$B$23*'前提'!$D$34</f>
        <v>800000</v>
      </c>
      <c r="AI34" s="19">
        <f>'前提'!$B$23*'前提'!$D$34</f>
        <v>800000</v>
      </c>
      <c r="AJ34" s="19">
        <f>'前提'!$B$23*'前提'!$D$34</f>
        <v>800000</v>
      </c>
      <c r="AK34" s="19">
        <f>'前提'!$B$23*'前提'!$D$34</f>
        <v>800000</v>
      </c>
      <c r="AL34" s="19">
        <f>'前提'!$B$23*'前提'!$D$35</f>
        <v>1600000</v>
      </c>
      <c r="AM34" s="19">
        <f>'前提'!$B$23*'前提'!$D$35</f>
        <v>1600000</v>
      </c>
      <c r="AN34" s="19">
        <f>'前提'!$B$23*'前提'!$D$35</f>
        <v>1600000</v>
      </c>
      <c r="AO34" s="19">
        <f>'前提'!$B$23*'前提'!$D$35</f>
        <v>1600000</v>
      </c>
      <c r="AP34" s="19">
        <f>'前提'!$B$23*'前提'!$D$35</f>
        <v>1600000</v>
      </c>
      <c r="AQ34" s="19">
        <f>'前提'!$B$23*'前提'!$D$35</f>
        <v>1600000</v>
      </c>
      <c r="AR34" s="19">
        <f>'前提'!$B$23*'前提'!$D$35</f>
        <v>1600000</v>
      </c>
      <c r="AS34" s="19">
        <f>'前提'!$B$23*'前提'!$D$35</f>
        <v>1600000</v>
      </c>
      <c r="AT34" s="19">
        <f>'前提'!$B$23*'前提'!$D$35</f>
        <v>1600000</v>
      </c>
      <c r="AU34" s="19">
        <f>'前提'!$B$23*'前提'!$D$35</f>
        <v>1600000</v>
      </c>
      <c r="AV34" s="19">
        <f>'前提'!$B$23*'前提'!$D$35</f>
        <v>1600000</v>
      </c>
      <c r="AW34" s="19">
        <f>'前提'!$B$23*'前提'!$D$35</f>
        <v>1600000</v>
      </c>
      <c r="AX34" s="19">
        <f>'前提'!$B$23*'前提'!$D$35</f>
        <v>1600000</v>
      </c>
      <c r="AY34" s="19">
        <f>'前提'!$B$23*'前提'!$D$35</f>
        <v>1600000</v>
      </c>
      <c r="AZ34" s="19">
        <f>'前提'!$B$23*'前提'!$D$35</f>
        <v>1600000</v>
      </c>
      <c r="BA34" s="19">
        <f>'前提'!$B$23*'前提'!$D$35</f>
        <v>1600000</v>
      </c>
      <c r="BB34" s="19">
        <f>'前提'!$B$23*'前提'!$D$35</f>
        <v>1600000</v>
      </c>
      <c r="BC34" s="19">
        <f>'前提'!$B$23*'前提'!$D$35</f>
        <v>1600000</v>
      </c>
      <c r="BD34" s="19">
        <f>'前提'!$B$23*'前提'!$D$35</f>
        <v>1600000</v>
      </c>
      <c r="BE34" s="19">
        <f>'前提'!$B$23*'前提'!$D$35</f>
        <v>1600000</v>
      </c>
      <c r="BF34" s="19">
        <f>'前提'!$B$23*'前提'!$D$35</f>
        <v>1600000</v>
      </c>
      <c r="BG34" s="19">
        <f>'前提'!$B$23*'前提'!$D$35</f>
        <v>1600000</v>
      </c>
      <c r="BH34" s="19">
        <f>'前提'!$B$23*'前提'!$D$35</f>
        <v>1600000</v>
      </c>
      <c r="BI34" s="19">
        <f>'前提'!$B$23*'前提'!$D$35</f>
        <v>1600000</v>
      </c>
    </row>
    <row r="35" ht="15.75" customHeight="1">
      <c r="A35" s="4" t="s">
        <v>203</v>
      </c>
      <c r="B35" s="20">
        <f t="shared" ref="B35:BI35" si="6">B9</f>
        <v>400000</v>
      </c>
      <c r="C35" s="20">
        <f t="shared" si="6"/>
        <v>400000</v>
      </c>
      <c r="D35" s="20">
        <f t="shared" si="6"/>
        <v>400000</v>
      </c>
      <c r="E35" s="20">
        <f t="shared" si="6"/>
        <v>400000</v>
      </c>
      <c r="F35" s="20">
        <f t="shared" si="6"/>
        <v>400000</v>
      </c>
      <c r="G35" s="20">
        <f t="shared" si="6"/>
        <v>400000</v>
      </c>
      <c r="H35" s="20">
        <f t="shared" si="6"/>
        <v>400000</v>
      </c>
      <c r="I35" s="20">
        <f t="shared" si="6"/>
        <v>400000</v>
      </c>
      <c r="J35" s="20">
        <f t="shared" si="6"/>
        <v>400000</v>
      </c>
      <c r="K35" s="20">
        <f t="shared" si="6"/>
        <v>400000</v>
      </c>
      <c r="L35" s="20">
        <f t="shared" si="6"/>
        <v>400000</v>
      </c>
      <c r="M35" s="20">
        <f t="shared" si="6"/>
        <v>400000</v>
      </c>
      <c r="N35" s="20">
        <f t="shared" si="6"/>
        <v>800000</v>
      </c>
      <c r="O35" s="20">
        <f t="shared" si="6"/>
        <v>800000</v>
      </c>
      <c r="P35" s="20">
        <f t="shared" si="6"/>
        <v>800000</v>
      </c>
      <c r="Q35" s="20">
        <f t="shared" si="6"/>
        <v>800000</v>
      </c>
      <c r="R35" s="20">
        <f t="shared" si="6"/>
        <v>800000</v>
      </c>
      <c r="S35" s="20">
        <f t="shared" si="6"/>
        <v>800000</v>
      </c>
      <c r="T35" s="20">
        <f t="shared" si="6"/>
        <v>2400000</v>
      </c>
      <c r="U35" s="20">
        <f t="shared" si="6"/>
        <v>2400000</v>
      </c>
      <c r="V35" s="20">
        <f t="shared" si="6"/>
        <v>2400000</v>
      </c>
      <c r="W35" s="20">
        <f t="shared" si="6"/>
        <v>2400000</v>
      </c>
      <c r="X35" s="20">
        <f t="shared" si="6"/>
        <v>2400000</v>
      </c>
      <c r="Y35" s="20">
        <f t="shared" si="6"/>
        <v>2400000</v>
      </c>
      <c r="Z35" s="20">
        <f t="shared" si="6"/>
        <v>2400000</v>
      </c>
      <c r="AA35" s="20">
        <f t="shared" si="6"/>
        <v>2400000</v>
      </c>
      <c r="AB35" s="20">
        <f t="shared" si="6"/>
        <v>2400000</v>
      </c>
      <c r="AC35" s="20">
        <f t="shared" si="6"/>
        <v>2400000</v>
      </c>
      <c r="AD35" s="20">
        <f t="shared" si="6"/>
        <v>2400000</v>
      </c>
      <c r="AE35" s="20">
        <f t="shared" si="6"/>
        <v>2400000</v>
      </c>
      <c r="AF35" s="20">
        <f t="shared" si="6"/>
        <v>2400000</v>
      </c>
      <c r="AG35" s="20">
        <f t="shared" si="6"/>
        <v>2400000</v>
      </c>
      <c r="AH35" s="20">
        <f t="shared" si="6"/>
        <v>2400000</v>
      </c>
      <c r="AI35" s="20">
        <f t="shared" si="6"/>
        <v>2400000</v>
      </c>
      <c r="AJ35" s="20">
        <f t="shared" si="6"/>
        <v>2400000</v>
      </c>
      <c r="AK35" s="20">
        <f t="shared" si="6"/>
        <v>2400000</v>
      </c>
      <c r="AL35" s="20">
        <f t="shared" si="6"/>
        <v>5200000</v>
      </c>
      <c r="AM35" s="20">
        <f t="shared" si="6"/>
        <v>5200000</v>
      </c>
      <c r="AN35" s="20">
        <f t="shared" si="6"/>
        <v>5200000</v>
      </c>
      <c r="AO35" s="20">
        <f t="shared" si="6"/>
        <v>5200000</v>
      </c>
      <c r="AP35" s="20">
        <f t="shared" si="6"/>
        <v>5200000</v>
      </c>
      <c r="AQ35" s="20">
        <f t="shared" si="6"/>
        <v>5200000</v>
      </c>
      <c r="AR35" s="20">
        <f t="shared" si="6"/>
        <v>5200000</v>
      </c>
      <c r="AS35" s="20">
        <f t="shared" si="6"/>
        <v>5200000</v>
      </c>
      <c r="AT35" s="20">
        <f t="shared" si="6"/>
        <v>5200000</v>
      </c>
      <c r="AU35" s="20">
        <f t="shared" si="6"/>
        <v>5200000</v>
      </c>
      <c r="AV35" s="20">
        <f t="shared" si="6"/>
        <v>5200000</v>
      </c>
      <c r="AW35" s="20">
        <f t="shared" si="6"/>
        <v>5200000</v>
      </c>
      <c r="AX35" s="20">
        <f t="shared" si="6"/>
        <v>5200000</v>
      </c>
      <c r="AY35" s="20">
        <f t="shared" si="6"/>
        <v>5200000</v>
      </c>
      <c r="AZ35" s="20">
        <f t="shared" si="6"/>
        <v>5200000</v>
      </c>
      <c r="BA35" s="20">
        <f t="shared" si="6"/>
        <v>5200000</v>
      </c>
      <c r="BB35" s="20">
        <f t="shared" si="6"/>
        <v>5200000</v>
      </c>
      <c r="BC35" s="20">
        <f t="shared" si="6"/>
        <v>5200000</v>
      </c>
      <c r="BD35" s="20">
        <f t="shared" si="6"/>
        <v>5200000</v>
      </c>
      <c r="BE35" s="20">
        <f t="shared" si="6"/>
        <v>5200000</v>
      </c>
      <c r="BF35" s="20">
        <f t="shared" si="6"/>
        <v>5200000</v>
      </c>
      <c r="BG35" s="20">
        <f t="shared" si="6"/>
        <v>5200000</v>
      </c>
      <c r="BH35" s="20">
        <f t="shared" si="6"/>
        <v>5200000</v>
      </c>
      <c r="BI35" s="20">
        <f t="shared" si="6"/>
        <v>5200000</v>
      </c>
    </row>
    <row r="36" ht="15.75" customHeight="1">
      <c r="A36" s="4" t="s">
        <v>204</v>
      </c>
      <c r="B36" s="20">
        <f>B15*'前提'!$B$24</f>
        <v>6000</v>
      </c>
      <c r="C36" s="20">
        <f>C15*'前提'!$B$24</f>
        <v>10000</v>
      </c>
      <c r="D36" s="20">
        <f>D15*'前提'!$B$24</f>
        <v>14000</v>
      </c>
      <c r="E36" s="20">
        <f>E15*'前提'!$B$24</f>
        <v>18000</v>
      </c>
      <c r="F36" s="20">
        <f>F15*'前提'!$B$24</f>
        <v>22000</v>
      </c>
      <c r="G36" s="20">
        <f>G15*'前提'!$B$24</f>
        <v>26000</v>
      </c>
      <c r="H36" s="20">
        <f>H15*'前提'!$B$24</f>
        <v>32000</v>
      </c>
      <c r="I36" s="20">
        <f>I15*'前提'!$B$24</f>
        <v>38000</v>
      </c>
      <c r="J36" s="20">
        <f>J15*'前提'!$B$24</f>
        <v>44000</v>
      </c>
      <c r="K36" s="20">
        <f>K15*'前提'!$B$24</f>
        <v>50000</v>
      </c>
      <c r="L36" s="20">
        <f>L15*'前提'!$B$24</f>
        <v>56000</v>
      </c>
      <c r="M36" s="20">
        <f>M15*'前提'!$B$24</f>
        <v>62000</v>
      </c>
      <c r="N36" s="20">
        <f>N15*'前提'!$B$24</f>
        <v>78000</v>
      </c>
      <c r="O36" s="20">
        <f>O15*'前提'!$B$24</f>
        <v>92000</v>
      </c>
      <c r="P36" s="20">
        <f>P15*'前提'!$B$24</f>
        <v>106000</v>
      </c>
      <c r="Q36" s="20">
        <f>Q15*'前提'!$B$24</f>
        <v>120000</v>
      </c>
      <c r="R36" s="20">
        <f>R15*'前提'!$B$24</f>
        <v>134000</v>
      </c>
      <c r="S36" s="20">
        <f>S15*'前提'!$B$24</f>
        <v>146000</v>
      </c>
      <c r="T36" s="20">
        <f>T15*'前提'!$B$24</f>
        <v>172000</v>
      </c>
      <c r="U36" s="20">
        <f>U15*'前提'!$B$24</f>
        <v>198000</v>
      </c>
      <c r="V36" s="20">
        <f>V15*'前提'!$B$24</f>
        <v>224000</v>
      </c>
      <c r="W36" s="20">
        <f>W15*'前提'!$B$24</f>
        <v>248000</v>
      </c>
      <c r="X36" s="20">
        <f>X15*'前提'!$B$24</f>
        <v>272000</v>
      </c>
      <c r="Y36" s="20">
        <f>Y15*'前提'!$B$24</f>
        <v>294000</v>
      </c>
      <c r="Z36" s="20">
        <f>Z15*'前提'!$B$24</f>
        <v>316000</v>
      </c>
      <c r="AA36" s="20">
        <f>AA15*'前提'!$B$24</f>
        <v>338000</v>
      </c>
      <c r="AB36" s="20">
        <f>AB15*'前提'!$B$24</f>
        <v>358000</v>
      </c>
      <c r="AC36" s="20">
        <f>AC15*'前提'!$B$24</f>
        <v>378000</v>
      </c>
      <c r="AD36" s="20">
        <f>AD15*'前提'!$B$24</f>
        <v>398000</v>
      </c>
      <c r="AE36" s="20">
        <f>AE15*'前提'!$B$24</f>
        <v>418000</v>
      </c>
      <c r="AF36" s="20">
        <f>AF15*'前提'!$B$24</f>
        <v>436000</v>
      </c>
      <c r="AG36" s="20">
        <f>AG15*'前提'!$B$24</f>
        <v>454000</v>
      </c>
      <c r="AH36" s="20">
        <f>AH15*'前提'!$B$24</f>
        <v>472000</v>
      </c>
      <c r="AI36" s="20">
        <f>AI15*'前提'!$B$24</f>
        <v>488000</v>
      </c>
      <c r="AJ36" s="20">
        <f>AJ15*'前提'!$B$24</f>
        <v>504000</v>
      </c>
      <c r="AK36" s="20">
        <f>AK15*'前提'!$B$24</f>
        <v>520000</v>
      </c>
      <c r="AL36" s="20">
        <f>AL15*'前提'!$B$24</f>
        <v>556000</v>
      </c>
      <c r="AM36" s="20">
        <f>AM15*'前提'!$B$24</f>
        <v>590000</v>
      </c>
      <c r="AN36" s="20">
        <f>AN15*'前提'!$B$24</f>
        <v>624000</v>
      </c>
      <c r="AO36" s="20">
        <f>AO15*'前提'!$B$24</f>
        <v>656000</v>
      </c>
      <c r="AP36" s="20">
        <f>AP15*'前提'!$B$24</f>
        <v>688000</v>
      </c>
      <c r="AQ36" s="20">
        <f>AQ15*'前提'!$B$24</f>
        <v>718000</v>
      </c>
      <c r="AR36" s="20">
        <f>AR15*'前提'!$B$24</f>
        <v>748000</v>
      </c>
      <c r="AS36" s="20">
        <f>AS15*'前提'!$B$24</f>
        <v>776000</v>
      </c>
      <c r="AT36" s="20">
        <f>AT15*'前提'!$B$24</f>
        <v>804000</v>
      </c>
      <c r="AU36" s="20">
        <f>AU15*'前提'!$B$24</f>
        <v>830000</v>
      </c>
      <c r="AV36" s="20">
        <f>AV15*'前提'!$B$24</f>
        <v>856000</v>
      </c>
      <c r="AW36" s="20">
        <f>AW15*'前提'!$B$24</f>
        <v>882000</v>
      </c>
      <c r="AX36" s="20">
        <f>AX15*'前提'!$B$24</f>
        <v>906000</v>
      </c>
      <c r="AY36" s="20">
        <f>AY15*'前提'!$B$24</f>
        <v>930000</v>
      </c>
      <c r="AZ36" s="20">
        <f>AZ15*'前提'!$B$24</f>
        <v>954000</v>
      </c>
      <c r="BA36" s="20">
        <f>BA15*'前提'!$B$24</f>
        <v>976000</v>
      </c>
      <c r="BB36" s="20">
        <f>BB15*'前提'!$B$24</f>
        <v>998000</v>
      </c>
      <c r="BC36" s="20">
        <f>BC15*'前提'!$B$24</f>
        <v>1020000</v>
      </c>
      <c r="BD36" s="20">
        <f>BD15*'前提'!$B$24</f>
        <v>1040000</v>
      </c>
      <c r="BE36" s="20">
        <f>BE15*'前提'!$B$24</f>
        <v>1060000</v>
      </c>
      <c r="BF36" s="20">
        <f>BF15*'前提'!$B$24</f>
        <v>1080000</v>
      </c>
      <c r="BG36" s="20">
        <f>BG15*'前提'!$B$24</f>
        <v>1098000</v>
      </c>
      <c r="BH36" s="20">
        <f>BH15*'前提'!$B$24</f>
        <v>1116000</v>
      </c>
      <c r="BI36" s="20">
        <f>BI15*'前提'!$B$24</f>
        <v>1134000</v>
      </c>
    </row>
    <row r="37" ht="15.75" customHeight="1">
      <c r="A37" s="4" t="s">
        <v>205</v>
      </c>
      <c r="B37" s="20">
        <v>0.0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0.0</v>
      </c>
      <c r="N37" s="22">
        <v>300000.0</v>
      </c>
      <c r="O37" s="22">
        <v>300000.0</v>
      </c>
      <c r="P37" s="22">
        <v>300000.0</v>
      </c>
      <c r="Q37" s="22">
        <v>450000.0</v>
      </c>
      <c r="R37" s="22">
        <v>450000.0</v>
      </c>
      <c r="S37" s="22">
        <v>450000.0</v>
      </c>
      <c r="T37" s="22">
        <v>600000.0</v>
      </c>
      <c r="U37" s="22">
        <v>600000.0</v>
      </c>
      <c r="V37" s="22">
        <v>600000.0</v>
      </c>
      <c r="W37" s="22">
        <v>750000.0</v>
      </c>
      <c r="X37" s="22">
        <v>750000.0</v>
      </c>
      <c r="Y37" s="22">
        <v>750000.0</v>
      </c>
      <c r="Z37" s="22">
        <v>1800000.0</v>
      </c>
      <c r="AA37" s="22">
        <v>2100000.0</v>
      </c>
      <c r="AB37" s="22">
        <v>2400000.0</v>
      </c>
      <c r="AC37" s="22">
        <v>2700000.0</v>
      </c>
      <c r="AD37" s="22">
        <v>3000000.0</v>
      </c>
      <c r="AE37" s="22">
        <v>3300000.0</v>
      </c>
      <c r="AF37" s="22">
        <v>3600000.0</v>
      </c>
      <c r="AG37" s="22">
        <v>3900000.0</v>
      </c>
      <c r="AH37" s="22">
        <v>4200000.0</v>
      </c>
      <c r="AI37" s="22">
        <v>4500000.0</v>
      </c>
      <c r="AJ37" s="22">
        <v>4800000.0</v>
      </c>
      <c r="AK37" s="22">
        <v>5100000.0</v>
      </c>
      <c r="AL37" s="20">
        <f>ROUNDUP(AL16/'前提'!$B$82+AL17/'前提'!$B$83+AL18/'前提'!$B$84,0)*'前提'!$B$27</f>
        <v>3300000</v>
      </c>
      <c r="AM37" s="20">
        <f>ROUNDUP(AM16/'前提'!$B$82+AM17/'前提'!$B$83+AM18/'前提'!$B$84,0)*'前提'!$B$27</f>
        <v>3300000</v>
      </c>
      <c r="AN37" s="20">
        <f>ROUNDUP(AN16/'前提'!$B$82+AN17/'前提'!$B$83+AN18/'前提'!$B$84,0)*'前提'!$B$27</f>
        <v>3600000</v>
      </c>
      <c r="AO37" s="20">
        <f>ROUNDUP(AO16/'前提'!$B$82+AO17/'前提'!$B$83+AO18/'前提'!$B$84,0)*'前提'!$B$27</f>
        <v>3900000</v>
      </c>
      <c r="AP37" s="20">
        <f>ROUNDUP(AP16/'前提'!$B$82+AP17/'前提'!$B$83+AP18/'前提'!$B$84,0)*'前提'!$B$27</f>
        <v>3900000</v>
      </c>
      <c r="AQ37" s="20">
        <f>ROUNDUP(AQ16/'前提'!$B$82+AQ17/'前提'!$B$83+AQ18/'前提'!$B$84,0)*'前提'!$B$27</f>
        <v>4200000</v>
      </c>
      <c r="AR37" s="20">
        <f>ROUNDUP(AR16/'前提'!$B$82+AR17/'前提'!$B$83+AR18/'前提'!$B$84,0)*'前提'!$B$27</f>
        <v>4500000</v>
      </c>
      <c r="AS37" s="20">
        <f>ROUNDUP(AS16/'前提'!$B$82+AS17/'前提'!$B$83+AS18/'前提'!$B$84,0)*'前提'!$B$27</f>
        <v>4500000</v>
      </c>
      <c r="AT37" s="20">
        <f>ROUNDUP(AT16/'前提'!$B$82+AT17/'前提'!$B$83+AT18/'前提'!$B$84,0)*'前提'!$B$27</f>
        <v>4800000</v>
      </c>
      <c r="AU37" s="20">
        <f>ROUNDUP(AU16/'前提'!$B$82+AU17/'前提'!$B$83+AU18/'前提'!$B$84,0)*'前提'!$B$27</f>
        <v>4800000</v>
      </c>
      <c r="AV37" s="20">
        <f>ROUNDUP(AV16/'前提'!$B$82+AV17/'前提'!$B$83+AV18/'前提'!$B$84,0)*'前提'!$B$27</f>
        <v>5100000</v>
      </c>
      <c r="AW37" s="20">
        <f>ROUNDUP(AW16/'前提'!$B$82+AW17/'前提'!$B$83+AW18/'前提'!$B$84,0)*'前提'!$B$27</f>
        <v>5400000</v>
      </c>
      <c r="AX37" s="20">
        <f>ROUNDUP(AX16/'前提'!$C$82+AX17/'前提'!$C$83+AX18/'前提'!$C$84,0)*'前提'!$B$27</f>
        <v>3300000</v>
      </c>
      <c r="AY37" s="20">
        <f>ROUNDUP(AY16/'前提'!$C$82+AY17/'前提'!$C$83+AY18/'前提'!$C$84,0)*'前提'!$B$27</f>
        <v>3300000</v>
      </c>
      <c r="AZ37" s="20">
        <f>ROUNDUP(AZ16/'前提'!$C$82+AZ17/'前提'!$C$83+AZ18/'前提'!$C$84,0)*'前提'!$B$27</f>
        <v>3600000</v>
      </c>
      <c r="BA37" s="20">
        <f>ROUNDUP(BA16/'前提'!$C$82+BA17/'前提'!$C$83+BA18/'前提'!$C$84,0)*'前提'!$B$27</f>
        <v>3600000</v>
      </c>
      <c r="BB37" s="20">
        <f>ROUNDUP(BB16/'前提'!$C$82+BB17/'前提'!$C$83+BB18/'前提'!$C$84,0)*'前提'!$B$27</f>
        <v>3900000</v>
      </c>
      <c r="BC37" s="20">
        <f>ROUNDUP(BC16/'前提'!$C$82+BC17/'前提'!$C$83+BC18/'前提'!$C$84,0)*'前提'!$B$27</f>
        <v>3900000</v>
      </c>
      <c r="BD37" s="20">
        <f>ROUNDUP(BD16/'前提'!$C$82+BD17/'前提'!$C$83+BD18/'前提'!$C$84,0)*'前提'!$B$27</f>
        <v>3900000</v>
      </c>
      <c r="BE37" s="20">
        <f>ROUNDUP(BE16/'前提'!$C$82+BE17/'前提'!$C$83+BE18/'前提'!$C$84,0)*'前提'!$B$27</f>
        <v>4200000</v>
      </c>
      <c r="BF37" s="20">
        <f>ROUNDUP(BF16/'前提'!$C$82+BF17/'前提'!$C$83+BF18/'前提'!$C$84,0)*'前提'!$B$27</f>
        <v>4200000</v>
      </c>
      <c r="BG37" s="20">
        <f>ROUNDUP(BG16/'前提'!$C$82+BG17/'前提'!$C$83+BG18/'前提'!$C$84,0)*'前提'!$B$27</f>
        <v>4200000</v>
      </c>
      <c r="BH37" s="20">
        <f>ROUNDUP(BH16/'前提'!$C$82+BH17/'前提'!$C$83+BH18/'前提'!$C$84,0)*'前提'!$B$27</f>
        <v>4200000</v>
      </c>
      <c r="BI37" s="20">
        <f>ROUNDUP(BI16/'前提'!$C$82+BI17/'前提'!$C$83+BI18/'前提'!$C$84,0)*'前提'!$B$27</f>
        <v>4500000</v>
      </c>
    </row>
    <row r="38" ht="15.75" customHeight="1">
      <c r="A38" s="4" t="s">
        <v>206</v>
      </c>
      <c r="B38" s="20">
        <v>0.0</v>
      </c>
      <c r="C38" s="20">
        <v>0.0</v>
      </c>
      <c r="D38" s="20">
        <v>0.0</v>
      </c>
      <c r="E38" s="20">
        <v>0.0</v>
      </c>
      <c r="F38" s="20">
        <v>0.0</v>
      </c>
      <c r="G38" s="20">
        <v>0.0</v>
      </c>
      <c r="H38" s="20">
        <v>0.0</v>
      </c>
      <c r="I38" s="20">
        <v>0.0</v>
      </c>
      <c r="J38" s="20">
        <v>0.0</v>
      </c>
      <c r="K38" s="20">
        <v>0.0</v>
      </c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0.0</v>
      </c>
      <c r="R38" s="20">
        <v>0.0</v>
      </c>
      <c r="S38" s="20">
        <v>0.0</v>
      </c>
      <c r="T38" s="20">
        <v>0.0</v>
      </c>
      <c r="U38" s="20">
        <v>0.0</v>
      </c>
      <c r="V38" s="20">
        <v>0.0</v>
      </c>
      <c r="W38" s="20">
        <v>0.0</v>
      </c>
      <c r="X38" s="20">
        <v>0.0</v>
      </c>
      <c r="Y38" s="20">
        <v>0.0</v>
      </c>
      <c r="Z38" s="22">
        <v>450000.0</v>
      </c>
      <c r="AA38" s="22">
        <v>600000.0</v>
      </c>
      <c r="AB38" s="22">
        <v>750000.0</v>
      </c>
      <c r="AC38" s="22">
        <v>900000.0</v>
      </c>
      <c r="AD38" s="22">
        <v>1050000.0</v>
      </c>
      <c r="AE38" s="22">
        <v>1200000.0</v>
      </c>
      <c r="AF38" s="22">
        <v>1350000.0</v>
      </c>
      <c r="AG38" s="22">
        <v>1500000.0</v>
      </c>
      <c r="AH38" s="22">
        <v>1650000.0</v>
      </c>
      <c r="AI38" s="22">
        <v>1800000.0</v>
      </c>
      <c r="AJ38" s="22">
        <v>1950000.0</v>
      </c>
      <c r="AK38" s="22">
        <v>2100000.0</v>
      </c>
      <c r="AL38" s="20">
        <f>IF(AL17+AL18&gt;0,ROUNDUP(AL17/'前提'!$B$89+AL18/'前提'!$B$90,0)*'前提'!$B$28,0)</f>
        <v>2100000</v>
      </c>
      <c r="AM38" s="20">
        <f>IF(AM17+AM18&gt;0,ROUNDUP(AM17/'前提'!$B$89+AM18/'前提'!$B$90,0)*'前提'!$B$28,0)</f>
        <v>2100000</v>
      </c>
      <c r="AN38" s="20">
        <f>IF(AN17+AN18&gt;0,ROUNDUP(AN17/'前提'!$B$89+AN18/'前提'!$B$90,0)*'前提'!$B$28,0)</f>
        <v>2250000</v>
      </c>
      <c r="AO38" s="20">
        <f>IF(AO17+AO18&gt;0,ROUNDUP(AO17/'前提'!$B$89+AO18/'前提'!$B$90,0)*'前提'!$B$28,0)</f>
        <v>2400000</v>
      </c>
      <c r="AP38" s="20">
        <f>IF(AP17+AP18&gt;0,ROUNDUP(AP17/'前提'!$B$89+AP18/'前提'!$B$90,0)*'前提'!$B$28,0)</f>
        <v>2400000</v>
      </c>
      <c r="AQ38" s="20">
        <f>IF(AQ17+AQ18&gt;0,ROUNDUP(AQ17/'前提'!$B$89+AQ18/'前提'!$B$90,0)*'前提'!$B$28,0)</f>
        <v>2550000</v>
      </c>
      <c r="AR38" s="20">
        <f>IF(AR17+AR18&gt;0,ROUNDUP(AR17/'前提'!$B$89+AR18/'前提'!$B$90,0)*'前提'!$B$28,0)</f>
        <v>2700000</v>
      </c>
      <c r="AS38" s="20">
        <f>IF(AS17+AS18&gt;0,ROUNDUP(AS17/'前提'!$B$89+AS18/'前提'!$B$90,0)*'前提'!$B$28,0)</f>
        <v>2850000</v>
      </c>
      <c r="AT38" s="20">
        <f>IF(AT17+AT18&gt;0,ROUNDUP(AT17/'前提'!$B$89+AT18/'前提'!$B$90,0)*'前提'!$B$28,0)</f>
        <v>3000000</v>
      </c>
      <c r="AU38" s="20">
        <f>IF(AU17+AU18&gt;0,ROUNDUP(AU17/'前提'!$B$89+AU18/'前提'!$B$90,0)*'前提'!$B$28,0)</f>
        <v>3150000</v>
      </c>
      <c r="AV38" s="20">
        <f>IF(AV17+AV18&gt;0,ROUNDUP(AV17/'前提'!$B$89+AV18/'前提'!$B$90,0)*'前提'!$B$28,0)</f>
        <v>3300000</v>
      </c>
      <c r="AW38" s="20">
        <f>IF(AW17+AW18&gt;0,ROUNDUP(AW17/'前提'!$B$89+AW18/'前提'!$B$90,0)*'前提'!$B$28,0)</f>
        <v>3450000</v>
      </c>
      <c r="AX38" s="20">
        <f>IF(AX17+AX18&gt;0,ROUNDUP(AX17/'前提'!$C$89+AX18/'前提'!$C$90,0)*'前提'!$B$28,0)</f>
        <v>1950000</v>
      </c>
      <c r="AY38" s="20">
        <f>IF(AY17+AY18&gt;0,ROUNDUP(AY17/'前提'!$C$89+AY18/'前提'!$C$90,0)*'前提'!$B$28,0)</f>
        <v>2100000</v>
      </c>
      <c r="AZ38" s="20">
        <f>IF(AZ17+AZ18&gt;0,ROUNDUP(AZ17/'前提'!$C$89+AZ18/'前提'!$C$90,0)*'前提'!$B$28,0)</f>
        <v>2100000</v>
      </c>
      <c r="BA38" s="20">
        <f>IF(BA17+BA18&gt;0,ROUNDUP(BA17/'前提'!$C$89+BA18/'前提'!$C$90,0)*'前提'!$B$28,0)</f>
        <v>2250000</v>
      </c>
      <c r="BB38" s="20">
        <f>IF(BB17+BB18&gt;0,ROUNDUP(BB17/'前提'!$C$89+BB18/'前提'!$C$90,0)*'前提'!$B$28,0)</f>
        <v>2250000</v>
      </c>
      <c r="BC38" s="20">
        <f>IF(BC17+BC18&gt;0,ROUNDUP(BC17/'前提'!$C$89+BC18/'前提'!$C$90,0)*'前提'!$B$28,0)</f>
        <v>2400000</v>
      </c>
      <c r="BD38" s="20">
        <f>IF(BD17+BD18&gt;0,ROUNDUP(BD17/'前提'!$C$89+BD18/'前提'!$C$90,0)*'前提'!$B$28,0)</f>
        <v>2400000</v>
      </c>
      <c r="BE38" s="20">
        <f>IF(BE17+BE18&gt;0,ROUNDUP(BE17/'前提'!$C$89+BE18/'前提'!$C$90,0)*'前提'!$B$28,0)</f>
        <v>2550000</v>
      </c>
      <c r="BF38" s="20">
        <f>IF(BF17+BF18&gt;0,ROUNDUP(BF17/'前提'!$C$89+BF18/'前提'!$C$90,0)*'前提'!$B$28,0)</f>
        <v>2550000</v>
      </c>
      <c r="BG38" s="20">
        <f>IF(BG17+BG18&gt;0,ROUNDUP(BG17/'前提'!$C$89+BG18/'前提'!$C$90,0)*'前提'!$B$28,0)</f>
        <v>2700000</v>
      </c>
      <c r="BH38" s="20">
        <f>IF(BH17+BH18&gt;0,ROUNDUP(BH17/'前提'!$C$89+BH18/'前提'!$C$90,0)*'前提'!$B$28,0)</f>
        <v>2700000</v>
      </c>
      <c r="BI38" s="20">
        <f>IF(BI17+BI18&gt;0,ROUNDUP(BI17/'前提'!$C$89+BI18/'前提'!$C$90,0)*'前提'!$B$28,0)</f>
        <v>2850000</v>
      </c>
    </row>
    <row r="39" ht="15.75" customHeight="1">
      <c r="A39" s="4" t="s">
        <v>31</v>
      </c>
      <c r="B39" s="19">
        <f>'前提'!$B$25</f>
        <v>100000</v>
      </c>
      <c r="C39" s="19">
        <f>'前提'!$B$25</f>
        <v>100000</v>
      </c>
      <c r="D39" s="19">
        <f>'前提'!$B$25</f>
        <v>100000</v>
      </c>
      <c r="E39" s="19">
        <f>'前提'!$B$25</f>
        <v>100000</v>
      </c>
      <c r="F39" s="19">
        <f>'前提'!$B$25</f>
        <v>100000</v>
      </c>
      <c r="G39" s="19">
        <f>'前提'!$B$25</f>
        <v>100000</v>
      </c>
      <c r="H39" s="19">
        <f>'前提'!$B$25</f>
        <v>100000</v>
      </c>
      <c r="I39" s="19">
        <f>'前提'!$B$25</f>
        <v>100000</v>
      </c>
      <c r="J39" s="19">
        <f>'前提'!$B$25</f>
        <v>100000</v>
      </c>
      <c r="K39" s="19">
        <f>'前提'!$B$25</f>
        <v>100000</v>
      </c>
      <c r="L39" s="19">
        <f>'前提'!$B$25</f>
        <v>100000</v>
      </c>
      <c r="M39" s="19">
        <f>'前提'!$B$25</f>
        <v>100000</v>
      </c>
      <c r="N39" s="19">
        <f>'前提'!$B$25</f>
        <v>100000</v>
      </c>
      <c r="O39" s="19">
        <f>'前提'!$B$25</f>
        <v>100000</v>
      </c>
      <c r="P39" s="19">
        <f>'前提'!$B$25</f>
        <v>100000</v>
      </c>
      <c r="Q39" s="19">
        <f>'前提'!$B$25</f>
        <v>100000</v>
      </c>
      <c r="R39" s="19">
        <f>'前提'!$B$25</f>
        <v>100000</v>
      </c>
      <c r="S39" s="19">
        <f>'前提'!$B$25</f>
        <v>100000</v>
      </c>
      <c r="T39" s="19">
        <f>'前提'!$B$25</f>
        <v>100000</v>
      </c>
      <c r="U39" s="19">
        <f>'前提'!$B$25</f>
        <v>100000</v>
      </c>
      <c r="V39" s="19">
        <f>'前提'!$B$25</f>
        <v>100000</v>
      </c>
      <c r="W39" s="19">
        <f>'前提'!$B$25</f>
        <v>100000</v>
      </c>
      <c r="X39" s="19">
        <f>'前提'!$B$25</f>
        <v>100000</v>
      </c>
      <c r="Y39" s="19">
        <f>'前提'!$B$25</f>
        <v>100000</v>
      </c>
      <c r="Z39" s="19">
        <f>'前提'!$B$25</f>
        <v>100000</v>
      </c>
      <c r="AA39" s="19">
        <f>'前提'!$B$25</f>
        <v>100000</v>
      </c>
      <c r="AB39" s="19">
        <f>'前提'!$B$25</f>
        <v>100000</v>
      </c>
      <c r="AC39" s="19">
        <f>'前提'!$B$25</f>
        <v>100000</v>
      </c>
      <c r="AD39" s="19">
        <f>'前提'!$B$25</f>
        <v>100000</v>
      </c>
      <c r="AE39" s="19">
        <f>'前提'!$B$25</f>
        <v>100000</v>
      </c>
      <c r="AF39" s="19">
        <f>'前提'!$B$25</f>
        <v>100000</v>
      </c>
      <c r="AG39" s="19">
        <f>'前提'!$B$25</f>
        <v>100000</v>
      </c>
      <c r="AH39" s="19">
        <f>'前提'!$B$25</f>
        <v>100000</v>
      </c>
      <c r="AI39" s="19">
        <f>'前提'!$B$25</f>
        <v>100000</v>
      </c>
      <c r="AJ39" s="19">
        <f>'前提'!$B$25</f>
        <v>100000</v>
      </c>
      <c r="AK39" s="19">
        <f>'前提'!$B$25</f>
        <v>100000</v>
      </c>
      <c r="AL39" s="19">
        <f>'前提'!$B$25</f>
        <v>100000</v>
      </c>
      <c r="AM39" s="19">
        <f>'前提'!$B$25</f>
        <v>100000</v>
      </c>
      <c r="AN39" s="19">
        <f>'前提'!$B$25</f>
        <v>100000</v>
      </c>
      <c r="AO39" s="19">
        <f>'前提'!$B$25</f>
        <v>100000</v>
      </c>
      <c r="AP39" s="19">
        <f>'前提'!$B$25</f>
        <v>100000</v>
      </c>
      <c r="AQ39" s="19">
        <f>'前提'!$B$25</f>
        <v>100000</v>
      </c>
      <c r="AR39" s="19">
        <f>'前提'!$B$25</f>
        <v>100000</v>
      </c>
      <c r="AS39" s="19">
        <f>'前提'!$B$25</f>
        <v>100000</v>
      </c>
      <c r="AT39" s="19">
        <f>'前提'!$B$25</f>
        <v>100000</v>
      </c>
      <c r="AU39" s="19">
        <f>'前提'!$B$25</f>
        <v>100000</v>
      </c>
      <c r="AV39" s="19">
        <f>'前提'!$B$25</f>
        <v>100000</v>
      </c>
      <c r="AW39" s="19">
        <f>'前提'!$B$25</f>
        <v>100000</v>
      </c>
      <c r="AX39" s="19">
        <f>'前提'!$B$25</f>
        <v>100000</v>
      </c>
      <c r="AY39" s="19">
        <f>'前提'!$B$25</f>
        <v>100000</v>
      </c>
      <c r="AZ39" s="19">
        <f>'前提'!$B$25</f>
        <v>100000</v>
      </c>
      <c r="BA39" s="19">
        <f>'前提'!$B$25</f>
        <v>100000</v>
      </c>
      <c r="BB39" s="19">
        <f>'前提'!$B$25</f>
        <v>100000</v>
      </c>
      <c r="BC39" s="19">
        <f>'前提'!$B$25</f>
        <v>100000</v>
      </c>
      <c r="BD39" s="19">
        <f>'前提'!$B$25</f>
        <v>100000</v>
      </c>
      <c r="BE39" s="19">
        <f>'前提'!$B$25</f>
        <v>100000</v>
      </c>
      <c r="BF39" s="19">
        <f>'前提'!$B$25</f>
        <v>100000</v>
      </c>
      <c r="BG39" s="19">
        <f>'前提'!$B$25</f>
        <v>100000</v>
      </c>
      <c r="BH39" s="19">
        <f>'前提'!$B$25</f>
        <v>100000</v>
      </c>
      <c r="BI39" s="19">
        <f>'前提'!$B$25</f>
        <v>100000</v>
      </c>
    </row>
    <row r="40" ht="15.75" customHeight="1">
      <c r="A40" s="4" t="s">
        <v>33</v>
      </c>
      <c r="B40" s="19">
        <f>'前提'!$B$26</f>
        <v>50000</v>
      </c>
      <c r="C40" s="19">
        <f>'前提'!$B$26</f>
        <v>50000</v>
      </c>
      <c r="D40" s="19">
        <f>'前提'!$B$26</f>
        <v>50000</v>
      </c>
      <c r="E40" s="19">
        <f>'前提'!$B$26</f>
        <v>50000</v>
      </c>
      <c r="F40" s="19">
        <f>'前提'!$B$26</f>
        <v>50000</v>
      </c>
      <c r="G40" s="19">
        <f>'前提'!$B$26</f>
        <v>50000</v>
      </c>
      <c r="H40" s="19">
        <f>'前提'!$B$26</f>
        <v>50000</v>
      </c>
      <c r="I40" s="19">
        <f>'前提'!$B$26</f>
        <v>50000</v>
      </c>
      <c r="J40" s="19">
        <f>'前提'!$B$26</f>
        <v>50000</v>
      </c>
      <c r="K40" s="19">
        <f>'前提'!$B$26</f>
        <v>50000</v>
      </c>
      <c r="L40" s="19">
        <f>'前提'!$B$26</f>
        <v>50000</v>
      </c>
      <c r="M40" s="19">
        <f>'前提'!$B$26</f>
        <v>50000</v>
      </c>
      <c r="N40" s="19">
        <f>'前提'!$B$26</f>
        <v>50000</v>
      </c>
      <c r="O40" s="19">
        <f>'前提'!$B$26</f>
        <v>50000</v>
      </c>
      <c r="P40" s="19">
        <f>'前提'!$B$26</f>
        <v>50000</v>
      </c>
      <c r="Q40" s="19">
        <f>'前提'!$B$26</f>
        <v>50000</v>
      </c>
      <c r="R40" s="19">
        <f>'前提'!$B$26</f>
        <v>50000</v>
      </c>
      <c r="S40" s="19">
        <f>'前提'!$B$26</f>
        <v>50000</v>
      </c>
      <c r="T40" s="19">
        <f>'前提'!$B$26</f>
        <v>50000</v>
      </c>
      <c r="U40" s="19">
        <f>'前提'!$B$26</f>
        <v>50000</v>
      </c>
      <c r="V40" s="19">
        <f>'前提'!$B$26</f>
        <v>50000</v>
      </c>
      <c r="W40" s="19">
        <f>'前提'!$B$26</f>
        <v>50000</v>
      </c>
      <c r="X40" s="19">
        <f>'前提'!$B$26</f>
        <v>50000</v>
      </c>
      <c r="Y40" s="19">
        <f>'前提'!$B$26</f>
        <v>50000</v>
      </c>
      <c r="Z40" s="19">
        <f>'前提'!$B$26</f>
        <v>50000</v>
      </c>
      <c r="AA40" s="19">
        <f>'前提'!$B$26</f>
        <v>50000</v>
      </c>
      <c r="AB40" s="19">
        <f>'前提'!$B$26</f>
        <v>50000</v>
      </c>
      <c r="AC40" s="19">
        <f>'前提'!$B$26</f>
        <v>50000</v>
      </c>
      <c r="AD40" s="19">
        <f>'前提'!$B$26</f>
        <v>50000</v>
      </c>
      <c r="AE40" s="19">
        <f>'前提'!$B$26</f>
        <v>50000</v>
      </c>
      <c r="AF40" s="19">
        <f>'前提'!$B$26</f>
        <v>50000</v>
      </c>
      <c r="AG40" s="19">
        <f>'前提'!$B$26</f>
        <v>50000</v>
      </c>
      <c r="AH40" s="19">
        <f>'前提'!$B$26</f>
        <v>50000</v>
      </c>
      <c r="AI40" s="19">
        <f>'前提'!$B$26</f>
        <v>50000</v>
      </c>
      <c r="AJ40" s="19">
        <f>'前提'!$B$26</f>
        <v>50000</v>
      </c>
      <c r="AK40" s="19">
        <f>'前提'!$B$26</f>
        <v>50000</v>
      </c>
      <c r="AL40" s="19">
        <f>'前提'!$B$26</f>
        <v>50000</v>
      </c>
      <c r="AM40" s="19">
        <f>'前提'!$B$26</f>
        <v>50000</v>
      </c>
      <c r="AN40" s="19">
        <f>'前提'!$B$26</f>
        <v>50000</v>
      </c>
      <c r="AO40" s="19">
        <f>'前提'!$B$26</f>
        <v>50000</v>
      </c>
      <c r="AP40" s="19">
        <f>'前提'!$B$26</f>
        <v>50000</v>
      </c>
      <c r="AQ40" s="19">
        <f>'前提'!$B$26</f>
        <v>50000</v>
      </c>
      <c r="AR40" s="19">
        <f>'前提'!$B$26</f>
        <v>50000</v>
      </c>
      <c r="AS40" s="19">
        <f>'前提'!$B$26</f>
        <v>50000</v>
      </c>
      <c r="AT40" s="19">
        <f>'前提'!$B$26</f>
        <v>50000</v>
      </c>
      <c r="AU40" s="19">
        <f>'前提'!$B$26</f>
        <v>50000</v>
      </c>
      <c r="AV40" s="19">
        <f>'前提'!$B$26</f>
        <v>50000</v>
      </c>
      <c r="AW40" s="19">
        <f>'前提'!$B$26</f>
        <v>50000</v>
      </c>
      <c r="AX40" s="19">
        <f>'前提'!$B$26</f>
        <v>50000</v>
      </c>
      <c r="AY40" s="19">
        <f>'前提'!$B$26</f>
        <v>50000</v>
      </c>
      <c r="AZ40" s="19">
        <f>'前提'!$B$26</f>
        <v>50000</v>
      </c>
      <c r="BA40" s="19">
        <f>'前提'!$B$26</f>
        <v>50000</v>
      </c>
      <c r="BB40" s="19">
        <f>'前提'!$B$26</f>
        <v>50000</v>
      </c>
      <c r="BC40" s="19">
        <f>'前提'!$B$26</f>
        <v>50000</v>
      </c>
      <c r="BD40" s="19">
        <f>'前提'!$B$26</f>
        <v>50000</v>
      </c>
      <c r="BE40" s="19">
        <f>'前提'!$B$26</f>
        <v>50000</v>
      </c>
      <c r="BF40" s="19">
        <f>'前提'!$B$26</f>
        <v>50000</v>
      </c>
      <c r="BG40" s="19">
        <f>'前提'!$B$26</f>
        <v>50000</v>
      </c>
      <c r="BH40" s="19">
        <f>'前提'!$B$26</f>
        <v>50000</v>
      </c>
      <c r="BI40" s="19">
        <f>'前提'!$B$26</f>
        <v>50000</v>
      </c>
    </row>
    <row r="41" ht="15.75" customHeight="1"/>
    <row r="42" ht="15.75" customHeight="1">
      <c r="A42" s="4" t="s">
        <v>207</v>
      </c>
      <c r="B42" s="23">
        <f t="shared" ref="B42:BI42" si="7">B30+B31+B32+B33+B34+B35+B36+B37+B38+B39+B40</f>
        <v>1256000</v>
      </c>
      <c r="C42" s="23">
        <f t="shared" si="7"/>
        <v>1260000</v>
      </c>
      <c r="D42" s="23">
        <f t="shared" si="7"/>
        <v>1264000</v>
      </c>
      <c r="E42" s="23">
        <f t="shared" si="7"/>
        <v>1268000</v>
      </c>
      <c r="F42" s="23">
        <f t="shared" si="7"/>
        <v>1272000</v>
      </c>
      <c r="G42" s="23">
        <f t="shared" si="7"/>
        <v>1276000</v>
      </c>
      <c r="H42" s="23">
        <f t="shared" si="7"/>
        <v>2232000</v>
      </c>
      <c r="I42" s="23">
        <f t="shared" si="7"/>
        <v>2238000</v>
      </c>
      <c r="J42" s="23">
        <f t="shared" si="7"/>
        <v>2244000</v>
      </c>
      <c r="K42" s="23">
        <f t="shared" si="7"/>
        <v>2250000</v>
      </c>
      <c r="L42" s="23">
        <f t="shared" si="7"/>
        <v>2256000</v>
      </c>
      <c r="M42" s="23">
        <f t="shared" si="7"/>
        <v>2262000</v>
      </c>
      <c r="N42" s="23">
        <f t="shared" si="7"/>
        <v>2978000</v>
      </c>
      <c r="O42" s="23">
        <f t="shared" si="7"/>
        <v>2992000</v>
      </c>
      <c r="P42" s="23">
        <f t="shared" si="7"/>
        <v>3006000</v>
      </c>
      <c r="Q42" s="23">
        <f t="shared" si="7"/>
        <v>3170000</v>
      </c>
      <c r="R42" s="23">
        <f t="shared" si="7"/>
        <v>3184000</v>
      </c>
      <c r="S42" s="23">
        <f t="shared" si="7"/>
        <v>3196000</v>
      </c>
      <c r="T42" s="23">
        <f t="shared" si="7"/>
        <v>5872000</v>
      </c>
      <c r="U42" s="23">
        <f t="shared" si="7"/>
        <v>5898000</v>
      </c>
      <c r="V42" s="23">
        <f t="shared" si="7"/>
        <v>5924000</v>
      </c>
      <c r="W42" s="23">
        <f t="shared" si="7"/>
        <v>6098000</v>
      </c>
      <c r="X42" s="23">
        <f t="shared" si="7"/>
        <v>6122000</v>
      </c>
      <c r="Y42" s="23">
        <f t="shared" si="7"/>
        <v>6144000</v>
      </c>
      <c r="Z42" s="23">
        <f t="shared" si="7"/>
        <v>7666000</v>
      </c>
      <c r="AA42" s="23">
        <f t="shared" si="7"/>
        <v>8138000</v>
      </c>
      <c r="AB42" s="23">
        <f t="shared" si="7"/>
        <v>8608000</v>
      </c>
      <c r="AC42" s="23">
        <f t="shared" si="7"/>
        <v>9078000</v>
      </c>
      <c r="AD42" s="23">
        <f t="shared" si="7"/>
        <v>9548000</v>
      </c>
      <c r="AE42" s="23">
        <f t="shared" si="7"/>
        <v>10018000</v>
      </c>
      <c r="AF42" s="23">
        <f t="shared" si="7"/>
        <v>10486000</v>
      </c>
      <c r="AG42" s="23">
        <f t="shared" si="7"/>
        <v>10954000</v>
      </c>
      <c r="AH42" s="23">
        <f t="shared" si="7"/>
        <v>11422000</v>
      </c>
      <c r="AI42" s="23">
        <f t="shared" si="7"/>
        <v>11888000</v>
      </c>
      <c r="AJ42" s="23">
        <f t="shared" si="7"/>
        <v>12354000</v>
      </c>
      <c r="AK42" s="23">
        <f t="shared" si="7"/>
        <v>12820000</v>
      </c>
      <c r="AL42" s="23">
        <f t="shared" si="7"/>
        <v>15256000</v>
      </c>
      <c r="AM42" s="23">
        <f t="shared" si="7"/>
        <v>15290000</v>
      </c>
      <c r="AN42" s="23">
        <f t="shared" si="7"/>
        <v>15774000</v>
      </c>
      <c r="AO42" s="23">
        <f t="shared" si="7"/>
        <v>16256000</v>
      </c>
      <c r="AP42" s="23">
        <f t="shared" si="7"/>
        <v>16288000</v>
      </c>
      <c r="AQ42" s="23">
        <f t="shared" si="7"/>
        <v>16768000</v>
      </c>
      <c r="AR42" s="23">
        <f t="shared" si="7"/>
        <v>17248000</v>
      </c>
      <c r="AS42" s="23">
        <f t="shared" si="7"/>
        <v>17426000</v>
      </c>
      <c r="AT42" s="23">
        <f t="shared" si="7"/>
        <v>17904000</v>
      </c>
      <c r="AU42" s="23">
        <f t="shared" si="7"/>
        <v>18080000</v>
      </c>
      <c r="AV42" s="23">
        <f t="shared" si="7"/>
        <v>18556000</v>
      </c>
      <c r="AW42" s="23">
        <f t="shared" si="7"/>
        <v>19032000</v>
      </c>
      <c r="AX42" s="23">
        <f t="shared" si="7"/>
        <v>15456000</v>
      </c>
      <c r="AY42" s="23">
        <f t="shared" si="7"/>
        <v>15630000</v>
      </c>
      <c r="AZ42" s="23">
        <f t="shared" si="7"/>
        <v>15954000</v>
      </c>
      <c r="BA42" s="23">
        <f t="shared" si="7"/>
        <v>16126000</v>
      </c>
      <c r="BB42" s="23">
        <f t="shared" si="7"/>
        <v>16448000</v>
      </c>
      <c r="BC42" s="23">
        <f t="shared" si="7"/>
        <v>16620000</v>
      </c>
      <c r="BD42" s="23">
        <f t="shared" si="7"/>
        <v>16640000</v>
      </c>
      <c r="BE42" s="23">
        <f t="shared" si="7"/>
        <v>17110000</v>
      </c>
      <c r="BF42" s="23">
        <f t="shared" si="7"/>
        <v>17130000</v>
      </c>
      <c r="BG42" s="23">
        <f t="shared" si="7"/>
        <v>17298000</v>
      </c>
      <c r="BH42" s="23">
        <f t="shared" si="7"/>
        <v>17316000</v>
      </c>
      <c r="BI42" s="23">
        <f t="shared" si="7"/>
        <v>17784000</v>
      </c>
    </row>
    <row r="43" ht="15.75" customHeight="1"/>
    <row r="44" ht="15.75" customHeight="1">
      <c r="A44" s="2" t="s">
        <v>208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</row>
    <row r="45" ht="15.75" customHeight="1">
      <c r="A45" s="4" t="s">
        <v>209</v>
      </c>
      <c r="B45" s="20">
        <f>B12*'前提'!$B$52</f>
        <v>60</v>
      </c>
      <c r="C45" s="20">
        <f>C12*'前提'!$B$52</f>
        <v>60</v>
      </c>
      <c r="D45" s="20">
        <f>D12*'前提'!$B$52</f>
        <v>60</v>
      </c>
      <c r="E45" s="20">
        <f>E12*'前提'!$B$52</f>
        <v>60</v>
      </c>
      <c r="F45" s="20">
        <f>F12*'前提'!$B$52</f>
        <v>60</v>
      </c>
      <c r="G45" s="20">
        <f>G12*'前提'!$B$52</f>
        <v>60</v>
      </c>
      <c r="H45" s="20">
        <f>H12*'前提'!$B$52</f>
        <v>90</v>
      </c>
      <c r="I45" s="20">
        <f>I12*'前提'!$B$52</f>
        <v>90</v>
      </c>
      <c r="J45" s="20">
        <f>J12*'前提'!$B$52</f>
        <v>90</v>
      </c>
      <c r="K45" s="20">
        <f>K12*'前提'!$B$52</f>
        <v>90</v>
      </c>
      <c r="L45" s="20">
        <f>L12*'前提'!$B$52</f>
        <v>90</v>
      </c>
      <c r="M45" s="20">
        <f>M12*'前提'!$B$52</f>
        <v>90</v>
      </c>
      <c r="N45" s="20">
        <f>N12*'前提'!$B$52</f>
        <v>240</v>
      </c>
      <c r="O45" s="20">
        <f>O12*'前提'!$B$52</f>
        <v>240</v>
      </c>
      <c r="P45" s="20">
        <f>P12*'前提'!$B$52</f>
        <v>240</v>
      </c>
      <c r="Q45" s="20">
        <f>Q12*'前提'!$B$52</f>
        <v>240</v>
      </c>
      <c r="R45" s="20">
        <f>R12*'前提'!$B$52</f>
        <v>240</v>
      </c>
      <c r="S45" s="20">
        <f>S12*'前提'!$B$52</f>
        <v>240</v>
      </c>
      <c r="T45" s="20">
        <f>T12*'前提'!$B$52</f>
        <v>450</v>
      </c>
      <c r="U45" s="20">
        <f>U12*'前提'!$B$52</f>
        <v>450</v>
      </c>
      <c r="V45" s="20">
        <f>V12*'前提'!$B$52</f>
        <v>450</v>
      </c>
      <c r="W45" s="20">
        <f>W12*'前提'!$B$52</f>
        <v>450</v>
      </c>
      <c r="X45" s="20">
        <f>X12*'前提'!$B$52</f>
        <v>450</v>
      </c>
      <c r="Y45" s="20">
        <f>Y12*'前提'!$B$52</f>
        <v>450</v>
      </c>
      <c r="Z45" s="20">
        <f>Z12*'前提'!$B$52</f>
        <v>450</v>
      </c>
      <c r="AA45" s="20">
        <f>AA12*'前提'!$B$52</f>
        <v>450</v>
      </c>
      <c r="AB45" s="20">
        <f>AB12*'前提'!$B$52</f>
        <v>450</v>
      </c>
      <c r="AC45" s="20">
        <f>AC12*'前提'!$B$52</f>
        <v>450</v>
      </c>
      <c r="AD45" s="20">
        <f>AD12*'前提'!$B$52</f>
        <v>450</v>
      </c>
      <c r="AE45" s="20">
        <f>AE12*'前提'!$B$52</f>
        <v>450</v>
      </c>
      <c r="AF45" s="20">
        <f>AF12*'前提'!$B$52</f>
        <v>450</v>
      </c>
      <c r="AG45" s="20">
        <f>AG12*'前提'!$B$52</f>
        <v>450</v>
      </c>
      <c r="AH45" s="20">
        <f>AH12*'前提'!$B$52</f>
        <v>450</v>
      </c>
      <c r="AI45" s="20">
        <f>AI12*'前提'!$B$52</f>
        <v>450</v>
      </c>
      <c r="AJ45" s="20">
        <f>AJ12*'前提'!$B$52</f>
        <v>450</v>
      </c>
      <c r="AK45" s="20">
        <f>AK12*'前提'!$B$52</f>
        <v>450</v>
      </c>
      <c r="AL45" s="20">
        <f>AL12*'前提'!$B$52</f>
        <v>750</v>
      </c>
      <c r="AM45" s="20">
        <f>AM12*'前提'!$B$52</f>
        <v>750</v>
      </c>
      <c r="AN45" s="20">
        <f>AN12*'前提'!$B$52</f>
        <v>750</v>
      </c>
      <c r="AO45" s="20">
        <f>AO12*'前提'!$B$52</f>
        <v>750</v>
      </c>
      <c r="AP45" s="20">
        <f>AP12*'前提'!$B$52</f>
        <v>750</v>
      </c>
      <c r="AQ45" s="20">
        <f>AQ12*'前提'!$B$52</f>
        <v>750</v>
      </c>
      <c r="AR45" s="20">
        <f>AR12*'前提'!$B$52</f>
        <v>750</v>
      </c>
      <c r="AS45" s="20">
        <f>AS12*'前提'!$B$52</f>
        <v>750</v>
      </c>
      <c r="AT45" s="20">
        <f>AT12*'前提'!$B$52</f>
        <v>750</v>
      </c>
      <c r="AU45" s="20">
        <f>AU12*'前提'!$B$52</f>
        <v>750</v>
      </c>
      <c r="AV45" s="20">
        <f>AV12*'前提'!$B$52</f>
        <v>750</v>
      </c>
      <c r="AW45" s="20">
        <f>AW12*'前提'!$B$52</f>
        <v>750</v>
      </c>
      <c r="AX45" s="20">
        <f>AX12*'前提'!$B$52</f>
        <v>750</v>
      </c>
      <c r="AY45" s="20">
        <f>AY12*'前提'!$B$52</f>
        <v>750</v>
      </c>
      <c r="AZ45" s="20">
        <f>AZ12*'前提'!$B$52</f>
        <v>750</v>
      </c>
      <c r="BA45" s="20">
        <f>BA12*'前提'!$B$52</f>
        <v>750</v>
      </c>
      <c r="BB45" s="20">
        <f>BB12*'前提'!$B$52</f>
        <v>750</v>
      </c>
      <c r="BC45" s="20">
        <f>BC12*'前提'!$B$52</f>
        <v>750</v>
      </c>
      <c r="BD45" s="20">
        <f>BD12*'前提'!$B$52</f>
        <v>750</v>
      </c>
      <c r="BE45" s="20">
        <f>BE12*'前提'!$B$52</f>
        <v>750</v>
      </c>
      <c r="BF45" s="20">
        <f>BF12*'前提'!$B$52</f>
        <v>750</v>
      </c>
      <c r="BG45" s="20">
        <f>BG12*'前提'!$B$52</f>
        <v>750</v>
      </c>
      <c r="BH45" s="20">
        <f>BH12*'前提'!$B$52</f>
        <v>750</v>
      </c>
      <c r="BI45" s="20">
        <f>BI12*'前提'!$B$52</f>
        <v>750</v>
      </c>
    </row>
    <row r="46" ht="15.75" customHeight="1">
      <c r="A46" s="4" t="s">
        <v>210</v>
      </c>
      <c r="B46" s="20">
        <f>B15*'前提'!$B$53</f>
        <v>9</v>
      </c>
      <c r="C46" s="20">
        <f>C15*'前提'!$B$53</f>
        <v>15</v>
      </c>
      <c r="D46" s="20">
        <f>D15*'前提'!$B$53</f>
        <v>21</v>
      </c>
      <c r="E46" s="20">
        <f>E15*'前提'!$B$53</f>
        <v>27</v>
      </c>
      <c r="F46" s="20">
        <f>F15*'前提'!$B$53</f>
        <v>33</v>
      </c>
      <c r="G46" s="20">
        <f>G15*'前提'!$B$53</f>
        <v>39</v>
      </c>
      <c r="H46" s="20">
        <f>H15*'前提'!$B$53</f>
        <v>48</v>
      </c>
      <c r="I46" s="20">
        <f>I15*'前提'!$B$53</f>
        <v>57</v>
      </c>
      <c r="J46" s="20">
        <f>J15*'前提'!$B$53</f>
        <v>66</v>
      </c>
      <c r="K46" s="20">
        <f>K15*'前提'!$B$53</f>
        <v>75</v>
      </c>
      <c r="L46" s="20">
        <f>L15*'前提'!$B$53</f>
        <v>84</v>
      </c>
      <c r="M46" s="20">
        <f>M15*'前提'!$B$53</f>
        <v>93</v>
      </c>
      <c r="N46" s="20">
        <f>N15*'前提'!$B$53</f>
        <v>117</v>
      </c>
      <c r="O46" s="20">
        <f>O15*'前提'!$B$53</f>
        <v>138</v>
      </c>
      <c r="P46" s="20">
        <f>P15*'前提'!$B$53</f>
        <v>159</v>
      </c>
      <c r="Q46" s="20">
        <f>Q15*'前提'!$B$53</f>
        <v>180</v>
      </c>
      <c r="R46" s="20">
        <f>R15*'前提'!$B$53</f>
        <v>201</v>
      </c>
      <c r="S46" s="20">
        <f>S15*'前提'!$B$53</f>
        <v>219</v>
      </c>
      <c r="T46" s="20">
        <f>T15*'前提'!$B$53</f>
        <v>258</v>
      </c>
      <c r="U46" s="20">
        <f>U15*'前提'!$B$53</f>
        <v>297</v>
      </c>
      <c r="V46" s="20">
        <f>V15*'前提'!$B$53</f>
        <v>336</v>
      </c>
      <c r="W46" s="20">
        <f>W15*'前提'!$B$53</f>
        <v>372</v>
      </c>
      <c r="X46" s="20">
        <f>X15*'前提'!$B$53</f>
        <v>408</v>
      </c>
      <c r="Y46" s="20">
        <f>Y15*'前提'!$B$53</f>
        <v>441</v>
      </c>
      <c r="Z46" s="20">
        <f>Z15*'前提'!$B$53</f>
        <v>474</v>
      </c>
      <c r="AA46" s="20">
        <f>AA15*'前提'!$B$53</f>
        <v>507</v>
      </c>
      <c r="AB46" s="20">
        <f>AB15*'前提'!$B$53</f>
        <v>537</v>
      </c>
      <c r="AC46" s="20">
        <f>AC15*'前提'!$B$53</f>
        <v>567</v>
      </c>
      <c r="AD46" s="20">
        <f>AD15*'前提'!$B$53</f>
        <v>597</v>
      </c>
      <c r="AE46" s="20">
        <f>AE15*'前提'!$B$53</f>
        <v>627</v>
      </c>
      <c r="AF46" s="20">
        <f>AF15*'前提'!$B$53</f>
        <v>654</v>
      </c>
      <c r="AG46" s="20">
        <f>AG15*'前提'!$B$53</f>
        <v>681</v>
      </c>
      <c r="AH46" s="20">
        <f>AH15*'前提'!$B$53</f>
        <v>708</v>
      </c>
      <c r="AI46" s="20">
        <f>AI15*'前提'!$B$53</f>
        <v>732</v>
      </c>
      <c r="AJ46" s="20">
        <f>AJ15*'前提'!$B$53</f>
        <v>756</v>
      </c>
      <c r="AK46" s="20">
        <f>AK15*'前提'!$B$53</f>
        <v>780</v>
      </c>
      <c r="AL46" s="20">
        <f>AL15*'前提'!$B$53</f>
        <v>834</v>
      </c>
      <c r="AM46" s="20">
        <f>AM15*'前提'!$B$53</f>
        <v>885</v>
      </c>
      <c r="AN46" s="20">
        <f>AN15*'前提'!$B$53</f>
        <v>936</v>
      </c>
      <c r="AO46" s="20">
        <f>AO15*'前提'!$B$53</f>
        <v>984</v>
      </c>
      <c r="AP46" s="20">
        <f>AP15*'前提'!$B$53</f>
        <v>1032</v>
      </c>
      <c r="AQ46" s="20">
        <f>AQ15*'前提'!$B$53</f>
        <v>1077</v>
      </c>
      <c r="AR46" s="20">
        <f>AR15*'前提'!$B$53</f>
        <v>1122</v>
      </c>
      <c r="AS46" s="20">
        <f>AS15*'前提'!$B$53</f>
        <v>1164</v>
      </c>
      <c r="AT46" s="20">
        <f>AT15*'前提'!$B$53</f>
        <v>1206</v>
      </c>
      <c r="AU46" s="20">
        <f>AU15*'前提'!$B$53</f>
        <v>1245</v>
      </c>
      <c r="AV46" s="20">
        <f>AV15*'前提'!$B$53</f>
        <v>1284</v>
      </c>
      <c r="AW46" s="20">
        <f>AW15*'前提'!$B$53</f>
        <v>1323</v>
      </c>
      <c r="AX46" s="20">
        <f>AX15*'前提'!$B$53</f>
        <v>1359</v>
      </c>
      <c r="AY46" s="20">
        <f>AY15*'前提'!$B$53</f>
        <v>1395</v>
      </c>
      <c r="AZ46" s="20">
        <f>AZ15*'前提'!$B$53</f>
        <v>1431</v>
      </c>
      <c r="BA46" s="20">
        <f>BA15*'前提'!$B$53</f>
        <v>1464</v>
      </c>
      <c r="BB46" s="20">
        <f>BB15*'前提'!$B$53</f>
        <v>1497</v>
      </c>
      <c r="BC46" s="20">
        <f>BC15*'前提'!$B$53</f>
        <v>1530</v>
      </c>
      <c r="BD46" s="20">
        <f>BD15*'前提'!$B$53</f>
        <v>1560</v>
      </c>
      <c r="BE46" s="20">
        <f>BE15*'前提'!$B$53</f>
        <v>1590</v>
      </c>
      <c r="BF46" s="20">
        <f>BF15*'前提'!$B$53</f>
        <v>1620</v>
      </c>
      <c r="BG46" s="20">
        <f>BG15*'前提'!$B$53</f>
        <v>1647</v>
      </c>
      <c r="BH46" s="20">
        <f>BH15*'前提'!$B$53</f>
        <v>1674</v>
      </c>
      <c r="BI46" s="20">
        <f>BI15*'前提'!$B$53</f>
        <v>1701</v>
      </c>
    </row>
    <row r="47" ht="15.75" customHeight="1">
      <c r="A47" s="4" t="s">
        <v>211</v>
      </c>
      <c r="B47" s="20">
        <f t="shared" ref="B47:BI47" si="8">B45+B46</f>
        <v>69</v>
      </c>
      <c r="C47" s="20">
        <f t="shared" si="8"/>
        <v>75</v>
      </c>
      <c r="D47" s="20">
        <f t="shared" si="8"/>
        <v>81</v>
      </c>
      <c r="E47" s="20">
        <f t="shared" si="8"/>
        <v>87</v>
      </c>
      <c r="F47" s="20">
        <f t="shared" si="8"/>
        <v>93</v>
      </c>
      <c r="G47" s="20">
        <f t="shared" si="8"/>
        <v>99</v>
      </c>
      <c r="H47" s="20">
        <f t="shared" si="8"/>
        <v>138</v>
      </c>
      <c r="I47" s="20">
        <f t="shared" si="8"/>
        <v>147</v>
      </c>
      <c r="J47" s="20">
        <f t="shared" si="8"/>
        <v>156</v>
      </c>
      <c r="K47" s="20">
        <f t="shared" si="8"/>
        <v>165</v>
      </c>
      <c r="L47" s="20">
        <f t="shared" si="8"/>
        <v>174</v>
      </c>
      <c r="M47" s="20">
        <f t="shared" si="8"/>
        <v>183</v>
      </c>
      <c r="N47" s="20">
        <f t="shared" si="8"/>
        <v>357</v>
      </c>
      <c r="O47" s="20">
        <f t="shared" si="8"/>
        <v>378</v>
      </c>
      <c r="P47" s="20">
        <f t="shared" si="8"/>
        <v>399</v>
      </c>
      <c r="Q47" s="20">
        <f t="shared" si="8"/>
        <v>420</v>
      </c>
      <c r="R47" s="20">
        <f t="shared" si="8"/>
        <v>441</v>
      </c>
      <c r="S47" s="20">
        <f t="shared" si="8"/>
        <v>459</v>
      </c>
      <c r="T47" s="20">
        <f t="shared" si="8"/>
        <v>708</v>
      </c>
      <c r="U47" s="20">
        <f t="shared" si="8"/>
        <v>747</v>
      </c>
      <c r="V47" s="20">
        <f t="shared" si="8"/>
        <v>786</v>
      </c>
      <c r="W47" s="20">
        <f t="shared" si="8"/>
        <v>822</v>
      </c>
      <c r="X47" s="20">
        <f t="shared" si="8"/>
        <v>858</v>
      </c>
      <c r="Y47" s="20">
        <f t="shared" si="8"/>
        <v>891</v>
      </c>
      <c r="Z47" s="20">
        <f t="shared" si="8"/>
        <v>924</v>
      </c>
      <c r="AA47" s="20">
        <f t="shared" si="8"/>
        <v>957</v>
      </c>
      <c r="AB47" s="20">
        <f t="shared" si="8"/>
        <v>987</v>
      </c>
      <c r="AC47" s="20">
        <f t="shared" si="8"/>
        <v>1017</v>
      </c>
      <c r="AD47" s="20">
        <f t="shared" si="8"/>
        <v>1047</v>
      </c>
      <c r="AE47" s="20">
        <f t="shared" si="8"/>
        <v>1077</v>
      </c>
      <c r="AF47" s="20">
        <f t="shared" si="8"/>
        <v>1104</v>
      </c>
      <c r="AG47" s="20">
        <f t="shared" si="8"/>
        <v>1131</v>
      </c>
      <c r="AH47" s="20">
        <f t="shared" si="8"/>
        <v>1158</v>
      </c>
      <c r="AI47" s="20">
        <f t="shared" si="8"/>
        <v>1182</v>
      </c>
      <c r="AJ47" s="20">
        <f t="shared" si="8"/>
        <v>1206</v>
      </c>
      <c r="AK47" s="20">
        <f t="shared" si="8"/>
        <v>1230</v>
      </c>
      <c r="AL47" s="20">
        <f t="shared" si="8"/>
        <v>1584</v>
      </c>
      <c r="AM47" s="20">
        <f t="shared" si="8"/>
        <v>1635</v>
      </c>
      <c r="AN47" s="20">
        <f t="shared" si="8"/>
        <v>1686</v>
      </c>
      <c r="AO47" s="20">
        <f t="shared" si="8"/>
        <v>1734</v>
      </c>
      <c r="AP47" s="20">
        <f t="shared" si="8"/>
        <v>1782</v>
      </c>
      <c r="AQ47" s="20">
        <f t="shared" si="8"/>
        <v>1827</v>
      </c>
      <c r="AR47" s="20">
        <f t="shared" si="8"/>
        <v>1872</v>
      </c>
      <c r="AS47" s="20">
        <f t="shared" si="8"/>
        <v>1914</v>
      </c>
      <c r="AT47" s="20">
        <f t="shared" si="8"/>
        <v>1956</v>
      </c>
      <c r="AU47" s="20">
        <f t="shared" si="8"/>
        <v>1995</v>
      </c>
      <c r="AV47" s="20">
        <f t="shared" si="8"/>
        <v>2034</v>
      </c>
      <c r="AW47" s="20">
        <f t="shared" si="8"/>
        <v>2073</v>
      </c>
      <c r="AX47" s="20">
        <f t="shared" si="8"/>
        <v>2109</v>
      </c>
      <c r="AY47" s="20">
        <f t="shared" si="8"/>
        <v>2145</v>
      </c>
      <c r="AZ47" s="20">
        <f t="shared" si="8"/>
        <v>2181</v>
      </c>
      <c r="BA47" s="20">
        <f t="shared" si="8"/>
        <v>2214</v>
      </c>
      <c r="BB47" s="20">
        <f t="shared" si="8"/>
        <v>2247</v>
      </c>
      <c r="BC47" s="20">
        <f t="shared" si="8"/>
        <v>2280</v>
      </c>
      <c r="BD47" s="20">
        <f t="shared" si="8"/>
        <v>2310</v>
      </c>
      <c r="BE47" s="20">
        <f t="shared" si="8"/>
        <v>2340</v>
      </c>
      <c r="BF47" s="20">
        <f t="shared" si="8"/>
        <v>2370</v>
      </c>
      <c r="BG47" s="20">
        <f t="shared" si="8"/>
        <v>2397</v>
      </c>
      <c r="BH47" s="20">
        <f t="shared" si="8"/>
        <v>2424</v>
      </c>
      <c r="BI47" s="20">
        <f t="shared" si="8"/>
        <v>2451</v>
      </c>
    </row>
    <row r="48" ht="15.75" customHeight="1">
      <c r="A48" s="4" t="s">
        <v>62</v>
      </c>
      <c r="B48" s="24">
        <f>'前提'!$B$57</f>
        <v>0</v>
      </c>
      <c r="C48" s="24">
        <f>'前提'!$B$57</f>
        <v>0</v>
      </c>
      <c r="D48" s="24">
        <f>'前提'!$B$57</f>
        <v>0</v>
      </c>
      <c r="E48" s="24">
        <f>'前提'!$B$57</f>
        <v>0</v>
      </c>
      <c r="F48" s="24">
        <f>'前提'!$B$57</f>
        <v>0</v>
      </c>
      <c r="G48" s="24">
        <f>'前提'!$B$57</f>
        <v>0</v>
      </c>
      <c r="H48" s="24">
        <f>'前提'!$B$57</f>
        <v>0</v>
      </c>
      <c r="I48" s="24">
        <f>'前提'!$B$57</f>
        <v>0</v>
      </c>
      <c r="J48" s="24">
        <f>'前提'!$B$57</f>
        <v>0</v>
      </c>
      <c r="K48" s="24">
        <f>'前提'!$B$57</f>
        <v>0</v>
      </c>
      <c r="L48" s="24">
        <f>'前提'!$B$57</f>
        <v>0</v>
      </c>
      <c r="M48" s="24">
        <f>'前提'!$B$57</f>
        <v>0</v>
      </c>
      <c r="N48" s="24">
        <f>'前提'!$B$57</f>
        <v>0</v>
      </c>
      <c r="O48" s="24">
        <f>'前提'!$B$57</f>
        <v>0</v>
      </c>
      <c r="P48" s="24">
        <f>'前提'!$B$57</f>
        <v>0</v>
      </c>
      <c r="Q48" s="24">
        <f>'前提'!$B$57</f>
        <v>0</v>
      </c>
      <c r="R48" s="24">
        <f>'前提'!$B$57</f>
        <v>0</v>
      </c>
      <c r="S48" s="24">
        <f>'前提'!$B$57</f>
        <v>0</v>
      </c>
      <c r="T48" s="24">
        <f>'前提'!$C$57</f>
        <v>0.2</v>
      </c>
      <c r="U48" s="24">
        <f>'前提'!$C$57</f>
        <v>0.2</v>
      </c>
      <c r="V48" s="24">
        <f>'前提'!$C$57</f>
        <v>0.2</v>
      </c>
      <c r="W48" s="24">
        <f>'前提'!$C$57</f>
        <v>0.2</v>
      </c>
      <c r="X48" s="24">
        <f>'前提'!$C$57</f>
        <v>0.2</v>
      </c>
      <c r="Y48" s="24">
        <f>'前提'!$C$57</f>
        <v>0.2</v>
      </c>
      <c r="Z48" s="24">
        <f>'前提'!$C$57</f>
        <v>0.2</v>
      </c>
      <c r="AA48" s="24">
        <f>'前提'!$C$57</f>
        <v>0.2</v>
      </c>
      <c r="AB48" s="24">
        <f>'前提'!$C$57</f>
        <v>0.2</v>
      </c>
      <c r="AC48" s="24">
        <f>'前提'!$C$57</f>
        <v>0.2</v>
      </c>
      <c r="AD48" s="24">
        <f>'前提'!$C$57</f>
        <v>0.2</v>
      </c>
      <c r="AE48" s="24">
        <f>'前提'!$C$57</f>
        <v>0.2</v>
      </c>
      <c r="AF48" s="24">
        <f>'前提'!$C$57</f>
        <v>0.2</v>
      </c>
      <c r="AG48" s="24">
        <f>'前提'!$C$57</f>
        <v>0.2</v>
      </c>
      <c r="AH48" s="24">
        <f>'前提'!$C$57</f>
        <v>0.2</v>
      </c>
      <c r="AI48" s="24">
        <f>'前提'!$C$57</f>
        <v>0.2</v>
      </c>
      <c r="AJ48" s="24">
        <f>'前提'!$C$57</f>
        <v>0.2</v>
      </c>
      <c r="AK48" s="24">
        <f>'前提'!$C$57</f>
        <v>0.2</v>
      </c>
      <c r="AL48" s="24">
        <f>'前提'!$D$57</f>
        <v>0.4</v>
      </c>
      <c r="AM48" s="24">
        <f>'前提'!$D$57</f>
        <v>0.4</v>
      </c>
      <c r="AN48" s="24">
        <f>'前提'!$D$57</f>
        <v>0.4</v>
      </c>
      <c r="AO48" s="24">
        <f>'前提'!$D$57</f>
        <v>0.4</v>
      </c>
      <c r="AP48" s="24">
        <f>'前提'!$D$57</f>
        <v>0.4</v>
      </c>
      <c r="AQ48" s="24">
        <f>'前提'!$D$57</f>
        <v>0.4</v>
      </c>
      <c r="AR48" s="24">
        <f>'前提'!$D$57</f>
        <v>0.4</v>
      </c>
      <c r="AS48" s="24">
        <f>'前提'!$D$57</f>
        <v>0.4</v>
      </c>
      <c r="AT48" s="24">
        <f>'前提'!$D$57</f>
        <v>0.4</v>
      </c>
      <c r="AU48" s="24">
        <f>'前提'!$D$57</f>
        <v>0.4</v>
      </c>
      <c r="AV48" s="24">
        <f>'前提'!$D$57</f>
        <v>0.4</v>
      </c>
      <c r="AW48" s="24">
        <f>'前提'!$D$57</f>
        <v>0.4</v>
      </c>
      <c r="AX48" s="24">
        <f>'前提'!$D$57</f>
        <v>0.4</v>
      </c>
      <c r="AY48" s="24">
        <f>'前提'!$D$57</f>
        <v>0.4</v>
      </c>
      <c r="AZ48" s="24">
        <f>'前提'!$D$57</f>
        <v>0.4</v>
      </c>
      <c r="BA48" s="24">
        <f>'前提'!$D$57</f>
        <v>0.4</v>
      </c>
      <c r="BB48" s="24">
        <f>'前提'!$D$57</f>
        <v>0.4</v>
      </c>
      <c r="BC48" s="24">
        <f>'前提'!$D$57</f>
        <v>0.4</v>
      </c>
      <c r="BD48" s="24">
        <f>'前提'!$D$57</f>
        <v>0.4</v>
      </c>
      <c r="BE48" s="24">
        <f>'前提'!$D$57</f>
        <v>0.4</v>
      </c>
      <c r="BF48" s="24">
        <f>'前提'!$D$57</f>
        <v>0.4</v>
      </c>
      <c r="BG48" s="24">
        <f>'前提'!$D$57</f>
        <v>0.4</v>
      </c>
      <c r="BH48" s="24">
        <f>'前提'!$D$57</f>
        <v>0.4</v>
      </c>
      <c r="BI48" s="24">
        <f>'前提'!$D$57</f>
        <v>0.4</v>
      </c>
    </row>
    <row r="49" ht="15.75" customHeight="1">
      <c r="A49" s="4" t="s">
        <v>212</v>
      </c>
      <c r="B49" s="20">
        <f t="shared" ref="B49:BI49" si="9">B47*(1-B48)</f>
        <v>69</v>
      </c>
      <c r="C49" s="20">
        <f t="shared" si="9"/>
        <v>75</v>
      </c>
      <c r="D49" s="20">
        <f t="shared" si="9"/>
        <v>81</v>
      </c>
      <c r="E49" s="20">
        <f t="shared" si="9"/>
        <v>87</v>
      </c>
      <c r="F49" s="20">
        <f t="shared" si="9"/>
        <v>93</v>
      </c>
      <c r="G49" s="20">
        <f t="shared" si="9"/>
        <v>99</v>
      </c>
      <c r="H49" s="20">
        <f t="shared" si="9"/>
        <v>138</v>
      </c>
      <c r="I49" s="20">
        <f t="shared" si="9"/>
        <v>147</v>
      </c>
      <c r="J49" s="20">
        <f t="shared" si="9"/>
        <v>156</v>
      </c>
      <c r="K49" s="20">
        <f t="shared" si="9"/>
        <v>165</v>
      </c>
      <c r="L49" s="20">
        <f t="shared" si="9"/>
        <v>174</v>
      </c>
      <c r="M49" s="20">
        <f t="shared" si="9"/>
        <v>183</v>
      </c>
      <c r="N49" s="20">
        <f t="shared" si="9"/>
        <v>357</v>
      </c>
      <c r="O49" s="20">
        <f t="shared" si="9"/>
        <v>378</v>
      </c>
      <c r="P49" s="20">
        <f t="shared" si="9"/>
        <v>399</v>
      </c>
      <c r="Q49" s="20">
        <f t="shared" si="9"/>
        <v>420</v>
      </c>
      <c r="R49" s="20">
        <f t="shared" si="9"/>
        <v>441</v>
      </c>
      <c r="S49" s="20">
        <f t="shared" si="9"/>
        <v>459</v>
      </c>
      <c r="T49" s="20">
        <f t="shared" si="9"/>
        <v>566.4</v>
      </c>
      <c r="U49" s="20">
        <f t="shared" si="9"/>
        <v>597.6</v>
      </c>
      <c r="V49" s="20">
        <f t="shared" si="9"/>
        <v>628.8</v>
      </c>
      <c r="W49" s="20">
        <f t="shared" si="9"/>
        <v>657.6</v>
      </c>
      <c r="X49" s="20">
        <f t="shared" si="9"/>
        <v>686.4</v>
      </c>
      <c r="Y49" s="20">
        <f t="shared" si="9"/>
        <v>712.8</v>
      </c>
      <c r="Z49" s="20">
        <f t="shared" si="9"/>
        <v>739.2</v>
      </c>
      <c r="AA49" s="20">
        <f t="shared" si="9"/>
        <v>765.6</v>
      </c>
      <c r="AB49" s="20">
        <f t="shared" si="9"/>
        <v>789.6</v>
      </c>
      <c r="AC49" s="20">
        <f t="shared" si="9"/>
        <v>813.6</v>
      </c>
      <c r="AD49" s="20">
        <f t="shared" si="9"/>
        <v>837.6</v>
      </c>
      <c r="AE49" s="20">
        <f t="shared" si="9"/>
        <v>861.6</v>
      </c>
      <c r="AF49" s="20">
        <f t="shared" si="9"/>
        <v>883.2</v>
      </c>
      <c r="AG49" s="20">
        <f t="shared" si="9"/>
        <v>904.8</v>
      </c>
      <c r="AH49" s="20">
        <f t="shared" si="9"/>
        <v>926.4</v>
      </c>
      <c r="AI49" s="20">
        <f t="shared" si="9"/>
        <v>945.6</v>
      </c>
      <c r="AJ49" s="20">
        <f t="shared" si="9"/>
        <v>964.8</v>
      </c>
      <c r="AK49" s="20">
        <f t="shared" si="9"/>
        <v>984</v>
      </c>
      <c r="AL49" s="20">
        <f t="shared" si="9"/>
        <v>950.4</v>
      </c>
      <c r="AM49" s="20">
        <f t="shared" si="9"/>
        <v>981</v>
      </c>
      <c r="AN49" s="20">
        <f t="shared" si="9"/>
        <v>1011.6</v>
      </c>
      <c r="AO49" s="20">
        <f t="shared" si="9"/>
        <v>1040.4</v>
      </c>
      <c r="AP49" s="20">
        <f t="shared" si="9"/>
        <v>1069.2</v>
      </c>
      <c r="AQ49" s="20">
        <f t="shared" si="9"/>
        <v>1096.2</v>
      </c>
      <c r="AR49" s="20">
        <f t="shared" si="9"/>
        <v>1123.2</v>
      </c>
      <c r="AS49" s="20">
        <f t="shared" si="9"/>
        <v>1148.4</v>
      </c>
      <c r="AT49" s="20">
        <f t="shared" si="9"/>
        <v>1173.6</v>
      </c>
      <c r="AU49" s="20">
        <f t="shared" si="9"/>
        <v>1197</v>
      </c>
      <c r="AV49" s="20">
        <f t="shared" si="9"/>
        <v>1220.4</v>
      </c>
      <c r="AW49" s="20">
        <f t="shared" si="9"/>
        <v>1243.8</v>
      </c>
      <c r="AX49" s="20">
        <f t="shared" si="9"/>
        <v>1265.4</v>
      </c>
      <c r="AY49" s="20">
        <f t="shared" si="9"/>
        <v>1287</v>
      </c>
      <c r="AZ49" s="20">
        <f t="shared" si="9"/>
        <v>1308.6</v>
      </c>
      <c r="BA49" s="20">
        <f t="shared" si="9"/>
        <v>1328.4</v>
      </c>
      <c r="BB49" s="20">
        <f t="shared" si="9"/>
        <v>1348.2</v>
      </c>
      <c r="BC49" s="20">
        <f t="shared" si="9"/>
        <v>1368</v>
      </c>
      <c r="BD49" s="20">
        <f t="shared" si="9"/>
        <v>1386</v>
      </c>
      <c r="BE49" s="20">
        <f t="shared" si="9"/>
        <v>1404</v>
      </c>
      <c r="BF49" s="20">
        <f t="shared" si="9"/>
        <v>1422</v>
      </c>
      <c r="BG49" s="20">
        <f t="shared" si="9"/>
        <v>1438.2</v>
      </c>
      <c r="BH49" s="20">
        <f t="shared" si="9"/>
        <v>1454.4</v>
      </c>
      <c r="BI49" s="20">
        <f t="shared" si="9"/>
        <v>1470.6</v>
      </c>
    </row>
    <row r="50" ht="15.75" customHeight="1">
      <c r="A50" s="4" t="s">
        <v>213</v>
      </c>
      <c r="B50" s="25">
        <f>ROUNDUP(B49/'前提'!$B$54,1)</f>
        <v>0.5</v>
      </c>
      <c r="C50" s="25">
        <f>ROUNDUP(C49/'前提'!$B$54,1)</f>
        <v>0.5</v>
      </c>
      <c r="D50" s="25">
        <f>ROUNDUP(D49/'前提'!$B$54,1)</f>
        <v>0.6</v>
      </c>
      <c r="E50" s="25">
        <f>ROUNDUP(E49/'前提'!$B$54,1)</f>
        <v>0.6</v>
      </c>
      <c r="F50" s="25">
        <f>ROUNDUP(F49/'前提'!$B$54,1)</f>
        <v>0.6</v>
      </c>
      <c r="G50" s="25">
        <f>ROUNDUP(G49/'前提'!$B$54,1)</f>
        <v>0.7</v>
      </c>
      <c r="H50" s="25">
        <f>ROUNDUP(H49/'前提'!$B$54,1)</f>
        <v>0.9</v>
      </c>
      <c r="I50" s="25">
        <f>ROUNDUP(I49/'前提'!$B$54,1)</f>
        <v>1</v>
      </c>
      <c r="J50" s="25">
        <f>ROUNDUP(J49/'前提'!$B$54,1)</f>
        <v>1</v>
      </c>
      <c r="K50" s="25">
        <f>ROUNDUP(K49/'前提'!$B$54,1)</f>
        <v>1.1</v>
      </c>
      <c r="L50" s="25">
        <f>ROUNDUP(L49/'前提'!$B$54,1)</f>
        <v>1.1</v>
      </c>
      <c r="M50" s="25">
        <f>ROUNDUP(M49/'前提'!$B$54,1)</f>
        <v>1.2</v>
      </c>
      <c r="N50" s="25">
        <f>ROUNDUP(N49/'前提'!$B$54,1)</f>
        <v>2.3</v>
      </c>
      <c r="O50" s="25">
        <f>ROUNDUP(O49/'前提'!$B$54,1)</f>
        <v>2.4</v>
      </c>
      <c r="P50" s="25">
        <f>ROUNDUP(P49/'前提'!$B$54,1)</f>
        <v>2.5</v>
      </c>
      <c r="Q50" s="25">
        <f>ROUNDUP(Q49/'前提'!$B$54,1)</f>
        <v>2.7</v>
      </c>
      <c r="R50" s="25">
        <f>ROUNDUP(R49/'前提'!$B$54,1)</f>
        <v>2.8</v>
      </c>
      <c r="S50" s="25">
        <f>ROUNDUP(S49/'前提'!$B$54,1)</f>
        <v>2.9</v>
      </c>
      <c r="T50" s="25">
        <f>ROUNDUP(T49/'前提'!$B$54,1)</f>
        <v>3.6</v>
      </c>
      <c r="U50" s="25">
        <f>ROUNDUP(U49/'前提'!$B$54,1)</f>
        <v>3.8</v>
      </c>
      <c r="V50" s="25">
        <f>ROUNDUP(V49/'前提'!$B$54,1)</f>
        <v>4</v>
      </c>
      <c r="W50" s="25">
        <f>ROUNDUP(W49/'前提'!$B$54,1)</f>
        <v>4.2</v>
      </c>
      <c r="X50" s="25">
        <f>ROUNDUP(X49/'前提'!$B$54,1)</f>
        <v>4.3</v>
      </c>
      <c r="Y50" s="25">
        <f>ROUNDUP(Y49/'前提'!$B$54,1)</f>
        <v>4.5</v>
      </c>
      <c r="Z50" s="25">
        <f>ROUNDUP(Z49/'前提'!$B$54,1)</f>
        <v>4.7</v>
      </c>
      <c r="AA50" s="25">
        <f>ROUNDUP(AA49/'前提'!$B$54,1)</f>
        <v>4.8</v>
      </c>
      <c r="AB50" s="25">
        <f>ROUNDUP(AB49/'前提'!$B$54,1)</f>
        <v>5</v>
      </c>
      <c r="AC50" s="25">
        <f>ROUNDUP(AC49/'前提'!$B$54,1)</f>
        <v>5.1</v>
      </c>
      <c r="AD50" s="25">
        <f>ROUNDUP(AD49/'前提'!$B$54,1)</f>
        <v>5.3</v>
      </c>
      <c r="AE50" s="25">
        <f>ROUNDUP(AE49/'前提'!$B$54,1)</f>
        <v>5.4</v>
      </c>
      <c r="AF50" s="25">
        <f>ROUNDUP(AF49/'前提'!$B$54,1)</f>
        <v>5.6</v>
      </c>
      <c r="AG50" s="25">
        <f>ROUNDUP(AG49/'前提'!$B$54,1)</f>
        <v>5.7</v>
      </c>
      <c r="AH50" s="25">
        <f>ROUNDUP(AH49/'前提'!$B$54,1)</f>
        <v>5.8</v>
      </c>
      <c r="AI50" s="25">
        <f>ROUNDUP(AI49/'前提'!$B$54,1)</f>
        <v>6</v>
      </c>
      <c r="AJ50" s="25">
        <f>ROUNDUP(AJ49/'前提'!$B$54,1)</f>
        <v>6.1</v>
      </c>
      <c r="AK50" s="25">
        <f>ROUNDUP(AK49/'前提'!$B$54,1)</f>
        <v>6.2</v>
      </c>
      <c r="AL50" s="25">
        <f>ROUNDUP(AL49/'前提'!$B$54,1)</f>
        <v>6</v>
      </c>
      <c r="AM50" s="25">
        <f>ROUNDUP(AM49/'前提'!$B$54,1)</f>
        <v>6.2</v>
      </c>
      <c r="AN50" s="25">
        <f>ROUNDUP(AN49/'前提'!$B$54,1)</f>
        <v>6.4</v>
      </c>
      <c r="AO50" s="25">
        <f>ROUNDUP(AO49/'前提'!$B$54,1)</f>
        <v>6.6</v>
      </c>
      <c r="AP50" s="25">
        <f>ROUNDUP(AP49/'前提'!$B$54,1)</f>
        <v>6.7</v>
      </c>
      <c r="AQ50" s="25">
        <f>ROUNDUP(AQ49/'前提'!$B$54,1)</f>
        <v>6.9</v>
      </c>
      <c r="AR50" s="25">
        <f>ROUNDUP(AR49/'前提'!$B$54,1)</f>
        <v>7.1</v>
      </c>
      <c r="AS50" s="25">
        <f>ROUNDUP(AS49/'前提'!$B$54,1)</f>
        <v>7.2</v>
      </c>
      <c r="AT50" s="25">
        <f>ROUNDUP(AT49/'前提'!$B$54,1)</f>
        <v>7.4</v>
      </c>
      <c r="AU50" s="25">
        <f>ROUNDUP(AU49/'前提'!$B$54,1)</f>
        <v>7.5</v>
      </c>
      <c r="AV50" s="25">
        <f>ROUNDUP(AV49/'前提'!$B$54,1)</f>
        <v>7.7</v>
      </c>
      <c r="AW50" s="25">
        <f>ROUNDUP(AW49/'前提'!$B$54,1)</f>
        <v>7.8</v>
      </c>
      <c r="AX50" s="25">
        <f>ROUNDUP(AX49/'前提'!$B$54,1)</f>
        <v>8</v>
      </c>
      <c r="AY50" s="25">
        <f>ROUNDUP(AY49/'前提'!$B$54,1)</f>
        <v>8.1</v>
      </c>
      <c r="AZ50" s="25">
        <f>ROUNDUP(AZ49/'前提'!$B$54,1)</f>
        <v>8.2</v>
      </c>
      <c r="BA50" s="25">
        <f>ROUNDUP(BA49/'前提'!$B$54,1)</f>
        <v>8.4</v>
      </c>
      <c r="BB50" s="25">
        <f>ROUNDUP(BB49/'前提'!$B$54,1)</f>
        <v>8.5</v>
      </c>
      <c r="BC50" s="25">
        <f>ROUNDUP(BC49/'前提'!$B$54,1)</f>
        <v>8.6</v>
      </c>
      <c r="BD50" s="25">
        <f>ROUNDUP(BD49/'前提'!$B$54,1)</f>
        <v>8.7</v>
      </c>
      <c r="BE50" s="25">
        <f>ROUNDUP(BE49/'前提'!$B$54,1)</f>
        <v>8.8</v>
      </c>
      <c r="BF50" s="25">
        <f>ROUNDUP(BF49/'前提'!$B$54,1)</f>
        <v>8.9</v>
      </c>
      <c r="BG50" s="25">
        <f>ROUNDUP(BG49/'前提'!$B$54,1)</f>
        <v>9</v>
      </c>
      <c r="BH50" s="25">
        <f>ROUNDUP(BH49/'前提'!$B$54,1)</f>
        <v>9.1</v>
      </c>
      <c r="BI50" s="25">
        <f>ROUNDUP(BI49/'前提'!$B$54,1)</f>
        <v>9.2</v>
      </c>
    </row>
    <row r="51" ht="15.75" customHeight="1"/>
    <row r="52" ht="15.75" customHeight="1">
      <c r="A52" s="2" t="s">
        <v>214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</row>
    <row r="53" ht="15.75" customHeight="1">
      <c r="A53" s="4" t="s">
        <v>215</v>
      </c>
      <c r="B53" s="20">
        <f t="shared" ref="B53:BI53" si="10">B26</f>
        <v>875000</v>
      </c>
      <c r="C53" s="20">
        <f t="shared" si="10"/>
        <v>925000</v>
      </c>
      <c r="D53" s="20">
        <f t="shared" si="10"/>
        <v>975000</v>
      </c>
      <c r="E53" s="20">
        <f t="shared" si="10"/>
        <v>1075000</v>
      </c>
      <c r="F53" s="20">
        <f t="shared" si="10"/>
        <v>1175000</v>
      </c>
      <c r="G53" s="20">
        <f t="shared" si="10"/>
        <v>1275000</v>
      </c>
      <c r="H53" s="20">
        <f t="shared" si="10"/>
        <v>1800000</v>
      </c>
      <c r="I53" s="20">
        <f t="shared" si="10"/>
        <v>1925000</v>
      </c>
      <c r="J53" s="20">
        <f t="shared" si="10"/>
        <v>2100000</v>
      </c>
      <c r="K53" s="20">
        <f t="shared" si="10"/>
        <v>2275000</v>
      </c>
      <c r="L53" s="20">
        <f t="shared" si="10"/>
        <v>2450000</v>
      </c>
      <c r="M53" s="20">
        <f t="shared" si="10"/>
        <v>2625000</v>
      </c>
      <c r="N53" s="20">
        <f t="shared" si="10"/>
        <v>4925000</v>
      </c>
      <c r="O53" s="20">
        <f t="shared" si="10"/>
        <v>5275000</v>
      </c>
      <c r="P53" s="20">
        <f t="shared" si="10"/>
        <v>5675000</v>
      </c>
      <c r="Q53" s="20">
        <f t="shared" si="10"/>
        <v>6250000</v>
      </c>
      <c r="R53" s="20">
        <f t="shared" si="10"/>
        <v>6850000</v>
      </c>
      <c r="S53" s="20">
        <f t="shared" si="10"/>
        <v>7450000</v>
      </c>
      <c r="T53" s="20">
        <f t="shared" si="10"/>
        <v>11075000</v>
      </c>
      <c r="U53" s="20">
        <f t="shared" si="10"/>
        <v>11875000</v>
      </c>
      <c r="V53" s="20">
        <f t="shared" si="10"/>
        <v>12900000</v>
      </c>
      <c r="W53" s="20">
        <f t="shared" si="10"/>
        <v>13975000</v>
      </c>
      <c r="X53" s="20">
        <f t="shared" si="10"/>
        <v>15075000</v>
      </c>
      <c r="Y53" s="20">
        <f t="shared" si="10"/>
        <v>16350000</v>
      </c>
      <c r="Z53" s="20">
        <f t="shared" si="10"/>
        <v>17550000</v>
      </c>
      <c r="AA53" s="20">
        <f t="shared" si="10"/>
        <v>18800000</v>
      </c>
      <c r="AB53" s="20">
        <f t="shared" si="10"/>
        <v>20050000</v>
      </c>
      <c r="AC53" s="20">
        <f t="shared" si="10"/>
        <v>21525000</v>
      </c>
      <c r="AD53" s="20">
        <f t="shared" si="10"/>
        <v>23000000</v>
      </c>
      <c r="AE53" s="20">
        <f t="shared" si="10"/>
        <v>24475000</v>
      </c>
      <c r="AF53" s="20">
        <f t="shared" si="10"/>
        <v>25800000</v>
      </c>
      <c r="AG53" s="20">
        <f t="shared" si="10"/>
        <v>27125000</v>
      </c>
      <c r="AH53" s="20">
        <f t="shared" si="10"/>
        <v>28450000</v>
      </c>
      <c r="AI53" s="20">
        <f t="shared" si="10"/>
        <v>29775000</v>
      </c>
      <c r="AJ53" s="20">
        <f t="shared" si="10"/>
        <v>31150000</v>
      </c>
      <c r="AK53" s="20">
        <f t="shared" si="10"/>
        <v>32700000</v>
      </c>
      <c r="AL53" s="20">
        <f t="shared" si="10"/>
        <v>38500000</v>
      </c>
      <c r="AM53" s="20">
        <f t="shared" si="10"/>
        <v>40350000</v>
      </c>
      <c r="AN53" s="20">
        <f t="shared" si="10"/>
        <v>41900000</v>
      </c>
      <c r="AO53" s="20">
        <f t="shared" si="10"/>
        <v>43675000</v>
      </c>
      <c r="AP53" s="20">
        <f t="shared" si="10"/>
        <v>45500000</v>
      </c>
      <c r="AQ53" s="20">
        <f t="shared" si="10"/>
        <v>47375000</v>
      </c>
      <c r="AR53" s="20">
        <f t="shared" si="10"/>
        <v>49300000</v>
      </c>
      <c r="AS53" s="20">
        <f t="shared" si="10"/>
        <v>51325000</v>
      </c>
      <c r="AT53" s="20">
        <f t="shared" si="10"/>
        <v>53125000</v>
      </c>
      <c r="AU53" s="20">
        <f t="shared" si="10"/>
        <v>55100000</v>
      </c>
      <c r="AV53" s="20">
        <f t="shared" si="10"/>
        <v>57075000</v>
      </c>
      <c r="AW53" s="20">
        <f t="shared" si="10"/>
        <v>59050000</v>
      </c>
      <c r="AX53" s="20">
        <f t="shared" si="10"/>
        <v>61025000</v>
      </c>
      <c r="AY53" s="20">
        <f t="shared" si="10"/>
        <v>63100000</v>
      </c>
      <c r="AZ53" s="20">
        <f t="shared" si="10"/>
        <v>64975000</v>
      </c>
      <c r="BA53" s="20">
        <f t="shared" si="10"/>
        <v>66850000</v>
      </c>
      <c r="BB53" s="20">
        <f t="shared" si="10"/>
        <v>68725000</v>
      </c>
      <c r="BC53" s="20">
        <f t="shared" si="10"/>
        <v>70775000</v>
      </c>
      <c r="BD53" s="20">
        <f t="shared" si="10"/>
        <v>72825000</v>
      </c>
      <c r="BE53" s="20">
        <f t="shared" si="10"/>
        <v>74625000</v>
      </c>
      <c r="BF53" s="20">
        <f t="shared" si="10"/>
        <v>76350000</v>
      </c>
      <c r="BG53" s="20">
        <f t="shared" si="10"/>
        <v>78075000</v>
      </c>
      <c r="BH53" s="20">
        <f t="shared" si="10"/>
        <v>79975000</v>
      </c>
      <c r="BI53" s="20">
        <f t="shared" si="10"/>
        <v>81875000</v>
      </c>
    </row>
    <row r="54" ht="15.75" customHeight="1">
      <c r="A54" s="4" t="s">
        <v>216</v>
      </c>
      <c r="B54" s="20">
        <f t="shared" ref="B54:BI54" si="11">B42</f>
        <v>1256000</v>
      </c>
      <c r="C54" s="20">
        <f t="shared" si="11"/>
        <v>1260000</v>
      </c>
      <c r="D54" s="20">
        <f t="shared" si="11"/>
        <v>1264000</v>
      </c>
      <c r="E54" s="20">
        <f t="shared" si="11"/>
        <v>1268000</v>
      </c>
      <c r="F54" s="20">
        <f t="shared" si="11"/>
        <v>1272000</v>
      </c>
      <c r="G54" s="20">
        <f t="shared" si="11"/>
        <v>1276000</v>
      </c>
      <c r="H54" s="20">
        <f t="shared" si="11"/>
        <v>2232000</v>
      </c>
      <c r="I54" s="20">
        <f t="shared" si="11"/>
        <v>2238000</v>
      </c>
      <c r="J54" s="20">
        <f t="shared" si="11"/>
        <v>2244000</v>
      </c>
      <c r="K54" s="20">
        <f t="shared" si="11"/>
        <v>2250000</v>
      </c>
      <c r="L54" s="20">
        <f t="shared" si="11"/>
        <v>2256000</v>
      </c>
      <c r="M54" s="20">
        <f t="shared" si="11"/>
        <v>2262000</v>
      </c>
      <c r="N54" s="20">
        <f t="shared" si="11"/>
        <v>2978000</v>
      </c>
      <c r="O54" s="20">
        <f t="shared" si="11"/>
        <v>2992000</v>
      </c>
      <c r="P54" s="20">
        <f t="shared" si="11"/>
        <v>3006000</v>
      </c>
      <c r="Q54" s="20">
        <f t="shared" si="11"/>
        <v>3170000</v>
      </c>
      <c r="R54" s="20">
        <f t="shared" si="11"/>
        <v>3184000</v>
      </c>
      <c r="S54" s="20">
        <f t="shared" si="11"/>
        <v>3196000</v>
      </c>
      <c r="T54" s="20">
        <f t="shared" si="11"/>
        <v>5872000</v>
      </c>
      <c r="U54" s="20">
        <f t="shared" si="11"/>
        <v>5898000</v>
      </c>
      <c r="V54" s="20">
        <f t="shared" si="11"/>
        <v>5924000</v>
      </c>
      <c r="W54" s="20">
        <f t="shared" si="11"/>
        <v>6098000</v>
      </c>
      <c r="X54" s="20">
        <f t="shared" si="11"/>
        <v>6122000</v>
      </c>
      <c r="Y54" s="20">
        <f t="shared" si="11"/>
        <v>6144000</v>
      </c>
      <c r="Z54" s="20">
        <f t="shared" si="11"/>
        <v>7666000</v>
      </c>
      <c r="AA54" s="20">
        <f t="shared" si="11"/>
        <v>8138000</v>
      </c>
      <c r="AB54" s="20">
        <f t="shared" si="11"/>
        <v>8608000</v>
      </c>
      <c r="AC54" s="20">
        <f t="shared" si="11"/>
        <v>9078000</v>
      </c>
      <c r="AD54" s="20">
        <f t="shared" si="11"/>
        <v>9548000</v>
      </c>
      <c r="AE54" s="20">
        <f t="shared" si="11"/>
        <v>10018000</v>
      </c>
      <c r="AF54" s="20">
        <f t="shared" si="11"/>
        <v>10486000</v>
      </c>
      <c r="AG54" s="20">
        <f t="shared" si="11"/>
        <v>10954000</v>
      </c>
      <c r="AH54" s="20">
        <f t="shared" si="11"/>
        <v>11422000</v>
      </c>
      <c r="AI54" s="20">
        <f t="shared" si="11"/>
        <v>11888000</v>
      </c>
      <c r="AJ54" s="20">
        <f t="shared" si="11"/>
        <v>12354000</v>
      </c>
      <c r="AK54" s="20">
        <f t="shared" si="11"/>
        <v>12820000</v>
      </c>
      <c r="AL54" s="20">
        <f t="shared" si="11"/>
        <v>15256000</v>
      </c>
      <c r="AM54" s="20">
        <f t="shared" si="11"/>
        <v>15290000</v>
      </c>
      <c r="AN54" s="20">
        <f t="shared" si="11"/>
        <v>15774000</v>
      </c>
      <c r="AO54" s="20">
        <f t="shared" si="11"/>
        <v>16256000</v>
      </c>
      <c r="AP54" s="20">
        <f t="shared" si="11"/>
        <v>16288000</v>
      </c>
      <c r="AQ54" s="20">
        <f t="shared" si="11"/>
        <v>16768000</v>
      </c>
      <c r="AR54" s="20">
        <f t="shared" si="11"/>
        <v>17248000</v>
      </c>
      <c r="AS54" s="20">
        <f t="shared" si="11"/>
        <v>17426000</v>
      </c>
      <c r="AT54" s="20">
        <f t="shared" si="11"/>
        <v>17904000</v>
      </c>
      <c r="AU54" s="20">
        <f t="shared" si="11"/>
        <v>18080000</v>
      </c>
      <c r="AV54" s="20">
        <f t="shared" si="11"/>
        <v>18556000</v>
      </c>
      <c r="AW54" s="20">
        <f t="shared" si="11"/>
        <v>19032000</v>
      </c>
      <c r="AX54" s="20">
        <f t="shared" si="11"/>
        <v>15456000</v>
      </c>
      <c r="AY54" s="20">
        <f t="shared" si="11"/>
        <v>15630000</v>
      </c>
      <c r="AZ54" s="20">
        <f t="shared" si="11"/>
        <v>15954000</v>
      </c>
      <c r="BA54" s="20">
        <f t="shared" si="11"/>
        <v>16126000</v>
      </c>
      <c r="BB54" s="20">
        <f t="shared" si="11"/>
        <v>16448000</v>
      </c>
      <c r="BC54" s="20">
        <f t="shared" si="11"/>
        <v>16620000</v>
      </c>
      <c r="BD54" s="20">
        <f t="shared" si="11"/>
        <v>16640000</v>
      </c>
      <c r="BE54" s="20">
        <f t="shared" si="11"/>
        <v>17110000</v>
      </c>
      <c r="BF54" s="20">
        <f t="shared" si="11"/>
        <v>17130000</v>
      </c>
      <c r="BG54" s="20">
        <f t="shared" si="11"/>
        <v>17298000</v>
      </c>
      <c r="BH54" s="20">
        <f t="shared" si="11"/>
        <v>17316000</v>
      </c>
      <c r="BI54" s="20">
        <f t="shared" si="11"/>
        <v>17784000</v>
      </c>
    </row>
    <row r="55" ht="15.75" customHeight="1">
      <c r="A55" s="4" t="s">
        <v>217</v>
      </c>
      <c r="B55" s="23">
        <f t="shared" ref="B55:BI55" si="12">B53-B54</f>
        <v>-381000</v>
      </c>
      <c r="C55" s="23">
        <f t="shared" si="12"/>
        <v>-335000</v>
      </c>
      <c r="D55" s="23">
        <f t="shared" si="12"/>
        <v>-289000</v>
      </c>
      <c r="E55" s="23">
        <f t="shared" si="12"/>
        <v>-193000</v>
      </c>
      <c r="F55" s="23">
        <f t="shared" si="12"/>
        <v>-97000</v>
      </c>
      <c r="G55" s="23">
        <f t="shared" si="12"/>
        <v>-1000</v>
      </c>
      <c r="H55" s="23">
        <f t="shared" si="12"/>
        <v>-432000</v>
      </c>
      <c r="I55" s="23">
        <f t="shared" si="12"/>
        <v>-313000</v>
      </c>
      <c r="J55" s="23">
        <f t="shared" si="12"/>
        <v>-144000</v>
      </c>
      <c r="K55" s="23">
        <f t="shared" si="12"/>
        <v>25000</v>
      </c>
      <c r="L55" s="23">
        <f t="shared" si="12"/>
        <v>194000</v>
      </c>
      <c r="M55" s="23">
        <f t="shared" si="12"/>
        <v>363000</v>
      </c>
      <c r="N55" s="23">
        <f t="shared" si="12"/>
        <v>1947000</v>
      </c>
      <c r="O55" s="23">
        <f t="shared" si="12"/>
        <v>2283000</v>
      </c>
      <c r="P55" s="23">
        <f t="shared" si="12"/>
        <v>2669000</v>
      </c>
      <c r="Q55" s="23">
        <f t="shared" si="12"/>
        <v>3080000</v>
      </c>
      <c r="R55" s="23">
        <f t="shared" si="12"/>
        <v>3666000</v>
      </c>
      <c r="S55" s="23">
        <f t="shared" si="12"/>
        <v>4254000</v>
      </c>
      <c r="T55" s="23">
        <f t="shared" si="12"/>
        <v>5203000</v>
      </c>
      <c r="U55" s="23">
        <f t="shared" si="12"/>
        <v>5977000</v>
      </c>
      <c r="V55" s="23">
        <f t="shared" si="12"/>
        <v>6976000</v>
      </c>
      <c r="W55" s="23">
        <f t="shared" si="12"/>
        <v>7877000</v>
      </c>
      <c r="X55" s="23">
        <f t="shared" si="12"/>
        <v>8953000</v>
      </c>
      <c r="Y55" s="23">
        <f t="shared" si="12"/>
        <v>10206000</v>
      </c>
      <c r="Z55" s="23">
        <f t="shared" si="12"/>
        <v>9884000</v>
      </c>
      <c r="AA55" s="23">
        <f t="shared" si="12"/>
        <v>10662000</v>
      </c>
      <c r="AB55" s="23">
        <f t="shared" si="12"/>
        <v>11442000</v>
      </c>
      <c r="AC55" s="23">
        <f t="shared" si="12"/>
        <v>12447000</v>
      </c>
      <c r="AD55" s="23">
        <f t="shared" si="12"/>
        <v>13452000</v>
      </c>
      <c r="AE55" s="23">
        <f t="shared" si="12"/>
        <v>14457000</v>
      </c>
      <c r="AF55" s="23">
        <f t="shared" si="12"/>
        <v>15314000</v>
      </c>
      <c r="AG55" s="23">
        <f t="shared" si="12"/>
        <v>16171000</v>
      </c>
      <c r="AH55" s="23">
        <f t="shared" si="12"/>
        <v>17028000</v>
      </c>
      <c r="AI55" s="23">
        <f t="shared" si="12"/>
        <v>17887000</v>
      </c>
      <c r="AJ55" s="23">
        <f t="shared" si="12"/>
        <v>18796000</v>
      </c>
      <c r="AK55" s="23">
        <f t="shared" si="12"/>
        <v>19880000</v>
      </c>
      <c r="AL55" s="23">
        <f t="shared" si="12"/>
        <v>23244000</v>
      </c>
      <c r="AM55" s="23">
        <f t="shared" si="12"/>
        <v>25060000</v>
      </c>
      <c r="AN55" s="23">
        <f t="shared" si="12"/>
        <v>26126000</v>
      </c>
      <c r="AO55" s="23">
        <f t="shared" si="12"/>
        <v>27419000</v>
      </c>
      <c r="AP55" s="23">
        <f t="shared" si="12"/>
        <v>29212000</v>
      </c>
      <c r="AQ55" s="23">
        <f t="shared" si="12"/>
        <v>30607000</v>
      </c>
      <c r="AR55" s="23">
        <f t="shared" si="12"/>
        <v>32052000</v>
      </c>
      <c r="AS55" s="23">
        <f t="shared" si="12"/>
        <v>33899000</v>
      </c>
      <c r="AT55" s="23">
        <f t="shared" si="12"/>
        <v>35221000</v>
      </c>
      <c r="AU55" s="23">
        <f t="shared" si="12"/>
        <v>37020000</v>
      </c>
      <c r="AV55" s="23">
        <f t="shared" si="12"/>
        <v>38519000</v>
      </c>
      <c r="AW55" s="23">
        <f t="shared" si="12"/>
        <v>40018000</v>
      </c>
      <c r="AX55" s="23">
        <f t="shared" si="12"/>
        <v>45569000</v>
      </c>
      <c r="AY55" s="23">
        <f t="shared" si="12"/>
        <v>47470000</v>
      </c>
      <c r="AZ55" s="23">
        <f t="shared" si="12"/>
        <v>49021000</v>
      </c>
      <c r="BA55" s="23">
        <f t="shared" si="12"/>
        <v>50724000</v>
      </c>
      <c r="BB55" s="23">
        <f t="shared" si="12"/>
        <v>52277000</v>
      </c>
      <c r="BC55" s="23">
        <f t="shared" si="12"/>
        <v>54155000</v>
      </c>
      <c r="BD55" s="23">
        <f t="shared" si="12"/>
        <v>56185000</v>
      </c>
      <c r="BE55" s="23">
        <f t="shared" si="12"/>
        <v>57515000</v>
      </c>
      <c r="BF55" s="23">
        <f t="shared" si="12"/>
        <v>59220000</v>
      </c>
      <c r="BG55" s="23">
        <f t="shared" si="12"/>
        <v>60777000</v>
      </c>
      <c r="BH55" s="23">
        <f t="shared" si="12"/>
        <v>62659000</v>
      </c>
      <c r="BI55" s="23">
        <f t="shared" si="12"/>
        <v>64091000</v>
      </c>
    </row>
    <row r="56" ht="15.75" customHeight="1">
      <c r="A56" s="4" t="s">
        <v>218</v>
      </c>
      <c r="B56" s="13">
        <f t="shared" ref="B56:BI56" si="13">IF(B53&lt;&gt;0,B55/B53,0)</f>
        <v>-0.4354285714</v>
      </c>
      <c r="C56" s="13">
        <f t="shared" si="13"/>
        <v>-0.3621621622</v>
      </c>
      <c r="D56" s="13">
        <f t="shared" si="13"/>
        <v>-0.2964102564</v>
      </c>
      <c r="E56" s="13">
        <f t="shared" si="13"/>
        <v>-0.1795348837</v>
      </c>
      <c r="F56" s="13">
        <f t="shared" si="13"/>
        <v>-0.08255319149</v>
      </c>
      <c r="G56" s="13">
        <f t="shared" si="13"/>
        <v>-0.0007843137255</v>
      </c>
      <c r="H56" s="13">
        <f t="shared" si="13"/>
        <v>-0.24</v>
      </c>
      <c r="I56" s="13">
        <f t="shared" si="13"/>
        <v>-0.1625974026</v>
      </c>
      <c r="J56" s="13">
        <f t="shared" si="13"/>
        <v>-0.06857142857</v>
      </c>
      <c r="K56" s="13">
        <f t="shared" si="13"/>
        <v>0.01098901099</v>
      </c>
      <c r="L56" s="13">
        <f t="shared" si="13"/>
        <v>0.07918367347</v>
      </c>
      <c r="M56" s="13">
        <f t="shared" si="13"/>
        <v>0.1382857143</v>
      </c>
      <c r="N56" s="13">
        <f t="shared" si="13"/>
        <v>0.3953299492</v>
      </c>
      <c r="O56" s="13">
        <f t="shared" si="13"/>
        <v>0.4327962085</v>
      </c>
      <c r="P56" s="13">
        <f t="shared" si="13"/>
        <v>0.47030837</v>
      </c>
      <c r="Q56" s="13">
        <f t="shared" si="13"/>
        <v>0.4928</v>
      </c>
      <c r="R56" s="13">
        <f t="shared" si="13"/>
        <v>0.5351824818</v>
      </c>
      <c r="S56" s="13">
        <f t="shared" si="13"/>
        <v>0.5710067114</v>
      </c>
      <c r="T56" s="13">
        <f t="shared" si="13"/>
        <v>0.4697968397</v>
      </c>
      <c r="U56" s="13">
        <f t="shared" si="13"/>
        <v>0.5033263158</v>
      </c>
      <c r="V56" s="13">
        <f t="shared" si="13"/>
        <v>0.5407751938</v>
      </c>
      <c r="W56" s="13">
        <f t="shared" si="13"/>
        <v>0.5636493739</v>
      </c>
      <c r="X56" s="13">
        <f t="shared" si="13"/>
        <v>0.5938971808</v>
      </c>
      <c r="Y56" s="13">
        <f t="shared" si="13"/>
        <v>0.6242201835</v>
      </c>
      <c r="Z56" s="13">
        <f t="shared" si="13"/>
        <v>0.5631908832</v>
      </c>
      <c r="AA56" s="13">
        <f t="shared" si="13"/>
        <v>0.5671276596</v>
      </c>
      <c r="AB56" s="13">
        <f t="shared" si="13"/>
        <v>0.5706733167</v>
      </c>
      <c r="AC56" s="13">
        <f t="shared" si="13"/>
        <v>0.5782578397</v>
      </c>
      <c r="AD56" s="13">
        <f t="shared" si="13"/>
        <v>0.5848695652</v>
      </c>
      <c r="AE56" s="13">
        <f t="shared" si="13"/>
        <v>0.5906843718</v>
      </c>
      <c r="AF56" s="13">
        <f t="shared" si="13"/>
        <v>0.5935658915</v>
      </c>
      <c r="AG56" s="13">
        <f t="shared" si="13"/>
        <v>0.5961658986</v>
      </c>
      <c r="AH56" s="13">
        <f t="shared" si="13"/>
        <v>0.5985237258</v>
      </c>
      <c r="AI56" s="13">
        <f t="shared" si="13"/>
        <v>0.6007388749</v>
      </c>
      <c r="AJ56" s="13">
        <f t="shared" si="13"/>
        <v>0.6034028892</v>
      </c>
      <c r="AK56" s="13">
        <f t="shared" si="13"/>
        <v>0.6079510703</v>
      </c>
      <c r="AL56" s="13">
        <f t="shared" si="13"/>
        <v>0.6037402597</v>
      </c>
      <c r="AM56" s="13">
        <f t="shared" si="13"/>
        <v>0.6210656753</v>
      </c>
      <c r="AN56" s="13">
        <f t="shared" si="13"/>
        <v>0.6235322196</v>
      </c>
      <c r="AO56" s="13">
        <f t="shared" si="13"/>
        <v>0.6277962221</v>
      </c>
      <c r="AP56" s="13">
        <f t="shared" si="13"/>
        <v>0.642021978</v>
      </c>
      <c r="AQ56" s="13">
        <f t="shared" si="13"/>
        <v>0.6460580475</v>
      </c>
      <c r="AR56" s="13">
        <f t="shared" si="13"/>
        <v>0.6501419878</v>
      </c>
      <c r="AS56" s="13">
        <f t="shared" si="13"/>
        <v>0.6604773502</v>
      </c>
      <c r="AT56" s="13">
        <f t="shared" si="13"/>
        <v>0.6629835294</v>
      </c>
      <c r="AU56" s="13">
        <f t="shared" si="13"/>
        <v>0.6718693285</v>
      </c>
      <c r="AV56" s="13">
        <f t="shared" si="13"/>
        <v>0.6748839247</v>
      </c>
      <c r="AW56" s="13">
        <f t="shared" si="13"/>
        <v>0.6776968671</v>
      </c>
      <c r="AX56" s="13">
        <f t="shared" si="13"/>
        <v>0.7467267513</v>
      </c>
      <c r="AY56" s="13">
        <f t="shared" si="13"/>
        <v>0.7522979398</v>
      </c>
      <c r="AZ56" s="13">
        <f t="shared" si="13"/>
        <v>0.7544594075</v>
      </c>
      <c r="BA56" s="13">
        <f t="shared" si="13"/>
        <v>0.7587733732</v>
      </c>
      <c r="BB56" s="13">
        <f t="shared" si="13"/>
        <v>0.7606693343</v>
      </c>
      <c r="BC56" s="13">
        <f t="shared" si="13"/>
        <v>0.7651713176</v>
      </c>
      <c r="BD56" s="13">
        <f t="shared" si="13"/>
        <v>0.7715070374</v>
      </c>
      <c r="BE56" s="13">
        <f t="shared" si="13"/>
        <v>0.770720268</v>
      </c>
      <c r="BF56" s="13">
        <f t="shared" si="13"/>
        <v>0.7756385069</v>
      </c>
      <c r="BG56" s="13">
        <f t="shared" si="13"/>
        <v>0.778443804</v>
      </c>
      <c r="BH56" s="13">
        <f t="shared" si="13"/>
        <v>0.7834823382</v>
      </c>
      <c r="BI56" s="13">
        <f t="shared" si="13"/>
        <v>0.7827908397</v>
      </c>
    </row>
    <row r="57" ht="15.75" customHeight="1">
      <c r="A57" s="4" t="s">
        <v>219</v>
      </c>
      <c r="B57" s="23">
        <f t="shared" ref="B57:BI57" si="14">B27-B42</f>
        <v>-1181000</v>
      </c>
      <c r="C57" s="23">
        <f t="shared" si="14"/>
        <v>-1135000</v>
      </c>
      <c r="D57" s="23">
        <f t="shared" si="14"/>
        <v>-1089000</v>
      </c>
      <c r="E57" s="23">
        <f t="shared" si="14"/>
        <v>-993000</v>
      </c>
      <c r="F57" s="23">
        <f t="shared" si="14"/>
        <v>-897000</v>
      </c>
      <c r="G57" s="23">
        <f t="shared" si="14"/>
        <v>-801000</v>
      </c>
      <c r="H57" s="23">
        <f t="shared" si="14"/>
        <v>-1632000</v>
      </c>
      <c r="I57" s="23">
        <f t="shared" si="14"/>
        <v>-1513000</v>
      </c>
      <c r="J57" s="23">
        <f t="shared" si="14"/>
        <v>-1344000</v>
      </c>
      <c r="K57" s="23">
        <f t="shared" si="14"/>
        <v>-1175000</v>
      </c>
      <c r="L57" s="23">
        <f t="shared" si="14"/>
        <v>-1006000</v>
      </c>
      <c r="M57" s="23">
        <f t="shared" si="14"/>
        <v>-837000</v>
      </c>
      <c r="N57" s="23">
        <f t="shared" si="14"/>
        <v>-1253000</v>
      </c>
      <c r="O57" s="23">
        <f t="shared" si="14"/>
        <v>-917000</v>
      </c>
      <c r="P57" s="23">
        <f t="shared" si="14"/>
        <v>-531000</v>
      </c>
      <c r="Q57" s="23">
        <f t="shared" si="14"/>
        <v>-120000</v>
      </c>
      <c r="R57" s="23">
        <f t="shared" si="14"/>
        <v>466000</v>
      </c>
      <c r="S57" s="23">
        <f t="shared" si="14"/>
        <v>1054000</v>
      </c>
      <c r="T57" s="23">
        <f t="shared" si="14"/>
        <v>-797000</v>
      </c>
      <c r="U57" s="23">
        <f t="shared" si="14"/>
        <v>-23000</v>
      </c>
      <c r="V57" s="23">
        <f t="shared" si="14"/>
        <v>976000</v>
      </c>
      <c r="W57" s="23">
        <f t="shared" si="14"/>
        <v>1877000</v>
      </c>
      <c r="X57" s="23">
        <f t="shared" si="14"/>
        <v>2953000</v>
      </c>
      <c r="Y57" s="23">
        <f t="shared" si="14"/>
        <v>4206000</v>
      </c>
      <c r="Z57" s="23">
        <f t="shared" si="14"/>
        <v>3884000</v>
      </c>
      <c r="AA57" s="23">
        <f t="shared" si="14"/>
        <v>4662000</v>
      </c>
      <c r="AB57" s="23">
        <f t="shared" si="14"/>
        <v>5442000</v>
      </c>
      <c r="AC57" s="23">
        <f t="shared" si="14"/>
        <v>6447000</v>
      </c>
      <c r="AD57" s="23">
        <f t="shared" si="14"/>
        <v>7452000</v>
      </c>
      <c r="AE57" s="23">
        <f t="shared" si="14"/>
        <v>8457000</v>
      </c>
      <c r="AF57" s="23">
        <f t="shared" si="14"/>
        <v>9314000</v>
      </c>
      <c r="AG57" s="23">
        <f t="shared" si="14"/>
        <v>10171000</v>
      </c>
      <c r="AH57" s="23">
        <f t="shared" si="14"/>
        <v>11028000</v>
      </c>
      <c r="AI57" s="23">
        <f t="shared" si="14"/>
        <v>11887000</v>
      </c>
      <c r="AJ57" s="23">
        <f t="shared" si="14"/>
        <v>12796000</v>
      </c>
      <c r="AK57" s="23">
        <f t="shared" si="14"/>
        <v>13880000</v>
      </c>
      <c r="AL57" s="23">
        <f t="shared" si="14"/>
        <v>13244000</v>
      </c>
      <c r="AM57" s="23">
        <f t="shared" si="14"/>
        <v>15060000</v>
      </c>
      <c r="AN57" s="23">
        <f t="shared" si="14"/>
        <v>16126000</v>
      </c>
      <c r="AO57" s="23">
        <f t="shared" si="14"/>
        <v>17419000</v>
      </c>
      <c r="AP57" s="23">
        <f t="shared" si="14"/>
        <v>19212000</v>
      </c>
      <c r="AQ57" s="23">
        <f t="shared" si="14"/>
        <v>20607000</v>
      </c>
      <c r="AR57" s="23">
        <f t="shared" si="14"/>
        <v>22052000</v>
      </c>
      <c r="AS57" s="23">
        <f t="shared" si="14"/>
        <v>23899000</v>
      </c>
      <c r="AT57" s="23">
        <f t="shared" si="14"/>
        <v>25221000</v>
      </c>
      <c r="AU57" s="23">
        <f t="shared" si="14"/>
        <v>27020000</v>
      </c>
      <c r="AV57" s="23">
        <f t="shared" si="14"/>
        <v>28519000</v>
      </c>
      <c r="AW57" s="23">
        <f t="shared" si="14"/>
        <v>30018000</v>
      </c>
      <c r="AX57" s="23">
        <f t="shared" si="14"/>
        <v>35569000</v>
      </c>
      <c r="AY57" s="23">
        <f t="shared" si="14"/>
        <v>37470000</v>
      </c>
      <c r="AZ57" s="23">
        <f t="shared" si="14"/>
        <v>39021000</v>
      </c>
      <c r="BA57" s="23">
        <f t="shared" si="14"/>
        <v>40724000</v>
      </c>
      <c r="BB57" s="23">
        <f t="shared" si="14"/>
        <v>42277000</v>
      </c>
      <c r="BC57" s="23">
        <f t="shared" si="14"/>
        <v>44155000</v>
      </c>
      <c r="BD57" s="23">
        <f t="shared" si="14"/>
        <v>46185000</v>
      </c>
      <c r="BE57" s="23">
        <f t="shared" si="14"/>
        <v>47515000</v>
      </c>
      <c r="BF57" s="23">
        <f t="shared" si="14"/>
        <v>49220000</v>
      </c>
      <c r="BG57" s="23">
        <f t="shared" si="14"/>
        <v>50777000</v>
      </c>
      <c r="BH57" s="23">
        <f t="shared" si="14"/>
        <v>52659000</v>
      </c>
      <c r="BI57" s="23">
        <f t="shared" si="14"/>
        <v>54091000</v>
      </c>
    </row>
    <row r="58" ht="15.75" customHeight="1">
      <c r="A58" s="4" t="s">
        <v>220</v>
      </c>
      <c r="B58" s="20">
        <f>B55</f>
        <v>-381000</v>
      </c>
      <c r="C58" s="20">
        <f t="shared" ref="C58:BI58" si="15">B58+C55</f>
        <v>-716000</v>
      </c>
      <c r="D58" s="20">
        <f t="shared" si="15"/>
        <v>-1005000</v>
      </c>
      <c r="E58" s="20">
        <f t="shared" si="15"/>
        <v>-1198000</v>
      </c>
      <c r="F58" s="20">
        <f t="shared" si="15"/>
        <v>-1295000</v>
      </c>
      <c r="G58" s="20">
        <f t="shared" si="15"/>
        <v>-1296000</v>
      </c>
      <c r="H58" s="20">
        <f t="shared" si="15"/>
        <v>-1728000</v>
      </c>
      <c r="I58" s="20">
        <f t="shared" si="15"/>
        <v>-2041000</v>
      </c>
      <c r="J58" s="20">
        <f t="shared" si="15"/>
        <v>-2185000</v>
      </c>
      <c r="K58" s="20">
        <f t="shared" si="15"/>
        <v>-2160000</v>
      </c>
      <c r="L58" s="20">
        <f t="shared" si="15"/>
        <v>-1966000</v>
      </c>
      <c r="M58" s="20">
        <f t="shared" si="15"/>
        <v>-1603000</v>
      </c>
      <c r="N58" s="20">
        <f t="shared" si="15"/>
        <v>344000</v>
      </c>
      <c r="O58" s="20">
        <f t="shared" si="15"/>
        <v>2627000</v>
      </c>
      <c r="P58" s="20">
        <f t="shared" si="15"/>
        <v>5296000</v>
      </c>
      <c r="Q58" s="20">
        <f t="shared" si="15"/>
        <v>8376000</v>
      </c>
      <c r="R58" s="20">
        <f t="shared" si="15"/>
        <v>12042000</v>
      </c>
      <c r="S58" s="20">
        <f t="shared" si="15"/>
        <v>16296000</v>
      </c>
      <c r="T58" s="20">
        <f t="shared" si="15"/>
        <v>21499000</v>
      </c>
      <c r="U58" s="20">
        <f t="shared" si="15"/>
        <v>27476000</v>
      </c>
      <c r="V58" s="20">
        <f t="shared" si="15"/>
        <v>34452000</v>
      </c>
      <c r="W58" s="20">
        <f t="shared" si="15"/>
        <v>42329000</v>
      </c>
      <c r="X58" s="20">
        <f t="shared" si="15"/>
        <v>51282000</v>
      </c>
      <c r="Y58" s="20">
        <f t="shared" si="15"/>
        <v>61488000</v>
      </c>
      <c r="Z58" s="20">
        <f t="shared" si="15"/>
        <v>71372000</v>
      </c>
      <c r="AA58" s="20">
        <f t="shared" si="15"/>
        <v>82034000</v>
      </c>
      <c r="AB58" s="20">
        <f t="shared" si="15"/>
        <v>93476000</v>
      </c>
      <c r="AC58" s="20">
        <f t="shared" si="15"/>
        <v>105923000</v>
      </c>
      <c r="AD58" s="20">
        <f t="shared" si="15"/>
        <v>119375000</v>
      </c>
      <c r="AE58" s="20">
        <f t="shared" si="15"/>
        <v>133832000</v>
      </c>
      <c r="AF58" s="20">
        <f t="shared" si="15"/>
        <v>149146000</v>
      </c>
      <c r="AG58" s="20">
        <f t="shared" si="15"/>
        <v>165317000</v>
      </c>
      <c r="AH58" s="20">
        <f t="shared" si="15"/>
        <v>182345000</v>
      </c>
      <c r="AI58" s="20">
        <f t="shared" si="15"/>
        <v>200232000</v>
      </c>
      <c r="AJ58" s="20">
        <f t="shared" si="15"/>
        <v>219028000</v>
      </c>
      <c r="AK58" s="20">
        <f t="shared" si="15"/>
        <v>238908000</v>
      </c>
      <c r="AL58" s="20">
        <f t="shared" si="15"/>
        <v>262152000</v>
      </c>
      <c r="AM58" s="20">
        <f t="shared" si="15"/>
        <v>287212000</v>
      </c>
      <c r="AN58" s="20">
        <f t="shared" si="15"/>
        <v>313338000</v>
      </c>
      <c r="AO58" s="20">
        <f t="shared" si="15"/>
        <v>340757000</v>
      </c>
      <c r="AP58" s="20">
        <f t="shared" si="15"/>
        <v>369969000</v>
      </c>
      <c r="AQ58" s="20">
        <f t="shared" si="15"/>
        <v>400576000</v>
      </c>
      <c r="AR58" s="20">
        <f t="shared" si="15"/>
        <v>432628000</v>
      </c>
      <c r="AS58" s="20">
        <f t="shared" si="15"/>
        <v>466527000</v>
      </c>
      <c r="AT58" s="20">
        <f t="shared" si="15"/>
        <v>501748000</v>
      </c>
      <c r="AU58" s="20">
        <f t="shared" si="15"/>
        <v>538768000</v>
      </c>
      <c r="AV58" s="20">
        <f t="shared" si="15"/>
        <v>577287000</v>
      </c>
      <c r="AW58" s="20">
        <f t="shared" si="15"/>
        <v>617305000</v>
      </c>
      <c r="AX58" s="20">
        <f t="shared" si="15"/>
        <v>662874000</v>
      </c>
      <c r="AY58" s="20">
        <f t="shared" si="15"/>
        <v>710344000</v>
      </c>
      <c r="AZ58" s="20">
        <f t="shared" si="15"/>
        <v>759365000</v>
      </c>
      <c r="BA58" s="20">
        <f t="shared" si="15"/>
        <v>810089000</v>
      </c>
      <c r="BB58" s="20">
        <f t="shared" si="15"/>
        <v>862366000</v>
      </c>
      <c r="BC58" s="20">
        <f t="shared" si="15"/>
        <v>916521000</v>
      </c>
      <c r="BD58" s="20">
        <f t="shared" si="15"/>
        <v>972706000</v>
      </c>
      <c r="BE58" s="20">
        <f t="shared" si="15"/>
        <v>1030221000</v>
      </c>
      <c r="BF58" s="20">
        <f t="shared" si="15"/>
        <v>1089441000</v>
      </c>
      <c r="BG58" s="20">
        <f t="shared" si="15"/>
        <v>1150218000</v>
      </c>
      <c r="BH58" s="20">
        <f t="shared" si="15"/>
        <v>1212877000</v>
      </c>
      <c r="BI58" s="20">
        <f t="shared" si="15"/>
        <v>1276968000</v>
      </c>
    </row>
    <row r="59" ht="15.75" customHeight="1"/>
    <row r="60" ht="15.75" customHeight="1">
      <c r="A60" s="2" t="s">
        <v>221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</row>
    <row r="61" ht="15.75" customHeight="1">
      <c r="A61" s="4" t="s">
        <v>222</v>
      </c>
      <c r="B61" s="20">
        <f t="shared" ref="B61:BI61" si="16">B42-B26</f>
        <v>381000</v>
      </c>
      <c r="C61" s="20">
        <f t="shared" si="16"/>
        <v>335000</v>
      </c>
      <c r="D61" s="20">
        <f t="shared" si="16"/>
        <v>289000</v>
      </c>
      <c r="E61" s="20">
        <f t="shared" si="16"/>
        <v>193000</v>
      </c>
      <c r="F61" s="20">
        <f t="shared" si="16"/>
        <v>97000</v>
      </c>
      <c r="G61" s="20">
        <f t="shared" si="16"/>
        <v>1000</v>
      </c>
      <c r="H61" s="20">
        <f t="shared" si="16"/>
        <v>432000</v>
      </c>
      <c r="I61" s="20">
        <f t="shared" si="16"/>
        <v>313000</v>
      </c>
      <c r="J61" s="20">
        <f t="shared" si="16"/>
        <v>144000</v>
      </c>
      <c r="K61" s="20">
        <f t="shared" si="16"/>
        <v>-25000</v>
      </c>
      <c r="L61" s="20">
        <f t="shared" si="16"/>
        <v>-194000</v>
      </c>
      <c r="M61" s="20">
        <f t="shared" si="16"/>
        <v>-363000</v>
      </c>
      <c r="N61" s="20">
        <f t="shared" si="16"/>
        <v>-1947000</v>
      </c>
      <c r="O61" s="20">
        <f t="shared" si="16"/>
        <v>-2283000</v>
      </c>
      <c r="P61" s="20">
        <f t="shared" si="16"/>
        <v>-2669000</v>
      </c>
      <c r="Q61" s="20">
        <f t="shared" si="16"/>
        <v>-3080000</v>
      </c>
      <c r="R61" s="20">
        <f t="shared" si="16"/>
        <v>-3666000</v>
      </c>
      <c r="S61" s="20">
        <f t="shared" si="16"/>
        <v>-4254000</v>
      </c>
      <c r="T61" s="20">
        <f t="shared" si="16"/>
        <v>-5203000</v>
      </c>
      <c r="U61" s="20">
        <f t="shared" si="16"/>
        <v>-5977000</v>
      </c>
      <c r="V61" s="20">
        <f t="shared" si="16"/>
        <v>-6976000</v>
      </c>
      <c r="W61" s="20">
        <f t="shared" si="16"/>
        <v>-7877000</v>
      </c>
      <c r="X61" s="20">
        <f t="shared" si="16"/>
        <v>-8953000</v>
      </c>
      <c r="Y61" s="20">
        <f t="shared" si="16"/>
        <v>-10206000</v>
      </c>
      <c r="Z61" s="20">
        <f t="shared" si="16"/>
        <v>-9884000</v>
      </c>
      <c r="AA61" s="20">
        <f t="shared" si="16"/>
        <v>-10662000</v>
      </c>
      <c r="AB61" s="20">
        <f t="shared" si="16"/>
        <v>-11442000</v>
      </c>
      <c r="AC61" s="20">
        <f t="shared" si="16"/>
        <v>-12447000</v>
      </c>
      <c r="AD61" s="20">
        <f t="shared" si="16"/>
        <v>-13452000</v>
      </c>
      <c r="AE61" s="20">
        <f t="shared" si="16"/>
        <v>-14457000</v>
      </c>
      <c r="AF61" s="20">
        <f t="shared" si="16"/>
        <v>-15314000</v>
      </c>
      <c r="AG61" s="20">
        <f t="shared" si="16"/>
        <v>-16171000</v>
      </c>
      <c r="AH61" s="20">
        <f t="shared" si="16"/>
        <v>-17028000</v>
      </c>
      <c r="AI61" s="20">
        <f t="shared" si="16"/>
        <v>-17887000</v>
      </c>
      <c r="AJ61" s="20">
        <f t="shared" si="16"/>
        <v>-18796000</v>
      </c>
      <c r="AK61" s="20">
        <f t="shared" si="16"/>
        <v>-19880000</v>
      </c>
      <c r="AL61" s="20">
        <f t="shared" si="16"/>
        <v>-23244000</v>
      </c>
      <c r="AM61" s="20">
        <f t="shared" si="16"/>
        <v>-25060000</v>
      </c>
      <c r="AN61" s="20">
        <f t="shared" si="16"/>
        <v>-26126000</v>
      </c>
      <c r="AO61" s="20">
        <f t="shared" si="16"/>
        <v>-27419000</v>
      </c>
      <c r="AP61" s="20">
        <f t="shared" si="16"/>
        <v>-29212000</v>
      </c>
      <c r="AQ61" s="20">
        <f t="shared" si="16"/>
        <v>-30607000</v>
      </c>
      <c r="AR61" s="20">
        <f t="shared" si="16"/>
        <v>-32052000</v>
      </c>
      <c r="AS61" s="20">
        <f t="shared" si="16"/>
        <v>-33899000</v>
      </c>
      <c r="AT61" s="20">
        <f t="shared" si="16"/>
        <v>-35221000</v>
      </c>
      <c r="AU61" s="20">
        <f t="shared" si="16"/>
        <v>-37020000</v>
      </c>
      <c r="AV61" s="20">
        <f t="shared" si="16"/>
        <v>-38519000</v>
      </c>
      <c r="AW61" s="20">
        <f t="shared" si="16"/>
        <v>-40018000</v>
      </c>
      <c r="AX61" s="20">
        <f t="shared" si="16"/>
        <v>-45569000</v>
      </c>
      <c r="AY61" s="20">
        <f t="shared" si="16"/>
        <v>-47470000</v>
      </c>
      <c r="AZ61" s="20">
        <f t="shared" si="16"/>
        <v>-49021000</v>
      </c>
      <c r="BA61" s="20">
        <f t="shared" si="16"/>
        <v>-50724000</v>
      </c>
      <c r="BB61" s="20">
        <f t="shared" si="16"/>
        <v>-52277000</v>
      </c>
      <c r="BC61" s="20">
        <f t="shared" si="16"/>
        <v>-54155000</v>
      </c>
      <c r="BD61" s="20">
        <f t="shared" si="16"/>
        <v>-56185000</v>
      </c>
      <c r="BE61" s="20">
        <f t="shared" si="16"/>
        <v>-57515000</v>
      </c>
      <c r="BF61" s="20">
        <f t="shared" si="16"/>
        <v>-59220000</v>
      </c>
      <c r="BG61" s="20">
        <f t="shared" si="16"/>
        <v>-60777000</v>
      </c>
      <c r="BH61" s="20">
        <f t="shared" si="16"/>
        <v>-62659000</v>
      </c>
      <c r="BI61" s="20">
        <f t="shared" si="16"/>
        <v>-64091000</v>
      </c>
    </row>
    <row r="62" ht="15.75" customHeight="1">
      <c r="A62" s="4" t="s">
        <v>223</v>
      </c>
      <c r="B62" s="20">
        <f t="shared" ref="B62:BI62" si="17">B26</f>
        <v>875000</v>
      </c>
      <c r="C62" s="20">
        <f t="shared" si="17"/>
        <v>925000</v>
      </c>
      <c r="D62" s="20">
        <f t="shared" si="17"/>
        <v>975000</v>
      </c>
      <c r="E62" s="20">
        <f t="shared" si="17"/>
        <v>1075000</v>
      </c>
      <c r="F62" s="20">
        <f t="shared" si="17"/>
        <v>1175000</v>
      </c>
      <c r="G62" s="20">
        <f t="shared" si="17"/>
        <v>1275000</v>
      </c>
      <c r="H62" s="20">
        <f t="shared" si="17"/>
        <v>1800000</v>
      </c>
      <c r="I62" s="20">
        <f t="shared" si="17"/>
        <v>1925000</v>
      </c>
      <c r="J62" s="20">
        <f t="shared" si="17"/>
        <v>2100000</v>
      </c>
      <c r="K62" s="20">
        <f t="shared" si="17"/>
        <v>2275000</v>
      </c>
      <c r="L62" s="20">
        <f t="shared" si="17"/>
        <v>2450000</v>
      </c>
      <c r="M62" s="20">
        <f t="shared" si="17"/>
        <v>2625000</v>
      </c>
      <c r="N62" s="20">
        <f t="shared" si="17"/>
        <v>4925000</v>
      </c>
      <c r="O62" s="20">
        <f t="shared" si="17"/>
        <v>5275000</v>
      </c>
      <c r="P62" s="20">
        <f t="shared" si="17"/>
        <v>5675000</v>
      </c>
      <c r="Q62" s="20">
        <f t="shared" si="17"/>
        <v>6250000</v>
      </c>
      <c r="R62" s="20">
        <f t="shared" si="17"/>
        <v>6850000</v>
      </c>
      <c r="S62" s="20">
        <f t="shared" si="17"/>
        <v>7450000</v>
      </c>
      <c r="T62" s="20">
        <f t="shared" si="17"/>
        <v>11075000</v>
      </c>
      <c r="U62" s="20">
        <f t="shared" si="17"/>
        <v>11875000</v>
      </c>
      <c r="V62" s="20">
        <f t="shared" si="17"/>
        <v>12900000</v>
      </c>
      <c r="W62" s="20">
        <f t="shared" si="17"/>
        <v>13975000</v>
      </c>
      <c r="X62" s="20">
        <f t="shared" si="17"/>
        <v>15075000</v>
      </c>
      <c r="Y62" s="20">
        <f t="shared" si="17"/>
        <v>16350000</v>
      </c>
      <c r="Z62" s="20">
        <f t="shared" si="17"/>
        <v>17550000</v>
      </c>
      <c r="AA62" s="20">
        <f t="shared" si="17"/>
        <v>18800000</v>
      </c>
      <c r="AB62" s="20">
        <f t="shared" si="17"/>
        <v>20050000</v>
      </c>
      <c r="AC62" s="20">
        <f t="shared" si="17"/>
        <v>21525000</v>
      </c>
      <c r="AD62" s="20">
        <f t="shared" si="17"/>
        <v>23000000</v>
      </c>
      <c r="AE62" s="20">
        <f t="shared" si="17"/>
        <v>24475000</v>
      </c>
      <c r="AF62" s="20">
        <f t="shared" si="17"/>
        <v>25800000</v>
      </c>
      <c r="AG62" s="20">
        <f t="shared" si="17"/>
        <v>27125000</v>
      </c>
      <c r="AH62" s="20">
        <f t="shared" si="17"/>
        <v>28450000</v>
      </c>
      <c r="AI62" s="20">
        <f t="shared" si="17"/>
        <v>29775000</v>
      </c>
      <c r="AJ62" s="20">
        <f t="shared" si="17"/>
        <v>31150000</v>
      </c>
      <c r="AK62" s="20">
        <f t="shared" si="17"/>
        <v>32700000</v>
      </c>
      <c r="AL62" s="20">
        <f t="shared" si="17"/>
        <v>38500000</v>
      </c>
      <c r="AM62" s="20">
        <f t="shared" si="17"/>
        <v>40350000</v>
      </c>
      <c r="AN62" s="20">
        <f t="shared" si="17"/>
        <v>41900000</v>
      </c>
      <c r="AO62" s="20">
        <f t="shared" si="17"/>
        <v>43675000</v>
      </c>
      <c r="AP62" s="20">
        <f t="shared" si="17"/>
        <v>45500000</v>
      </c>
      <c r="AQ62" s="20">
        <f t="shared" si="17"/>
        <v>47375000</v>
      </c>
      <c r="AR62" s="20">
        <f t="shared" si="17"/>
        <v>49300000</v>
      </c>
      <c r="AS62" s="20">
        <f t="shared" si="17"/>
        <v>51325000</v>
      </c>
      <c r="AT62" s="20">
        <f t="shared" si="17"/>
        <v>53125000</v>
      </c>
      <c r="AU62" s="20">
        <f t="shared" si="17"/>
        <v>55100000</v>
      </c>
      <c r="AV62" s="20">
        <f t="shared" si="17"/>
        <v>57075000</v>
      </c>
      <c r="AW62" s="20">
        <f t="shared" si="17"/>
        <v>59050000</v>
      </c>
      <c r="AX62" s="20">
        <f t="shared" si="17"/>
        <v>61025000</v>
      </c>
      <c r="AY62" s="20">
        <f t="shared" si="17"/>
        <v>63100000</v>
      </c>
      <c r="AZ62" s="20">
        <f t="shared" si="17"/>
        <v>64975000</v>
      </c>
      <c r="BA62" s="20">
        <f t="shared" si="17"/>
        <v>66850000</v>
      </c>
      <c r="BB62" s="20">
        <f t="shared" si="17"/>
        <v>68725000</v>
      </c>
      <c r="BC62" s="20">
        <f t="shared" si="17"/>
        <v>70775000</v>
      </c>
      <c r="BD62" s="20">
        <f t="shared" si="17"/>
        <v>72825000</v>
      </c>
      <c r="BE62" s="20">
        <f t="shared" si="17"/>
        <v>74625000</v>
      </c>
      <c r="BF62" s="20">
        <f t="shared" si="17"/>
        <v>76350000</v>
      </c>
      <c r="BG62" s="20">
        <f t="shared" si="17"/>
        <v>78075000</v>
      </c>
      <c r="BH62" s="20">
        <f t="shared" si="17"/>
        <v>79975000</v>
      </c>
      <c r="BI62" s="20">
        <f t="shared" si="17"/>
        <v>81875000</v>
      </c>
    </row>
    <row r="63" ht="15.75" customHeight="1">
      <c r="A63" s="4" t="s">
        <v>224</v>
      </c>
      <c r="B63" s="20">
        <f t="shared" ref="B63:BI63" si="18">B42</f>
        <v>1256000</v>
      </c>
      <c r="C63" s="20">
        <f t="shared" si="18"/>
        <v>1260000</v>
      </c>
      <c r="D63" s="20">
        <f t="shared" si="18"/>
        <v>1264000</v>
      </c>
      <c r="E63" s="20">
        <f t="shared" si="18"/>
        <v>1268000</v>
      </c>
      <c r="F63" s="20">
        <f t="shared" si="18"/>
        <v>1272000</v>
      </c>
      <c r="G63" s="20">
        <f t="shared" si="18"/>
        <v>1276000</v>
      </c>
      <c r="H63" s="20">
        <f t="shared" si="18"/>
        <v>2232000</v>
      </c>
      <c r="I63" s="20">
        <f t="shared" si="18"/>
        <v>2238000</v>
      </c>
      <c r="J63" s="20">
        <f t="shared" si="18"/>
        <v>2244000</v>
      </c>
      <c r="K63" s="20">
        <f t="shared" si="18"/>
        <v>2250000</v>
      </c>
      <c r="L63" s="20">
        <f t="shared" si="18"/>
        <v>2256000</v>
      </c>
      <c r="M63" s="20">
        <f t="shared" si="18"/>
        <v>2262000</v>
      </c>
      <c r="N63" s="20">
        <f t="shared" si="18"/>
        <v>2978000</v>
      </c>
      <c r="O63" s="20">
        <f t="shared" si="18"/>
        <v>2992000</v>
      </c>
      <c r="P63" s="20">
        <f t="shared" si="18"/>
        <v>3006000</v>
      </c>
      <c r="Q63" s="20">
        <f t="shared" si="18"/>
        <v>3170000</v>
      </c>
      <c r="R63" s="20">
        <f t="shared" si="18"/>
        <v>3184000</v>
      </c>
      <c r="S63" s="20">
        <f t="shared" si="18"/>
        <v>3196000</v>
      </c>
      <c r="T63" s="20">
        <f t="shared" si="18"/>
        <v>5872000</v>
      </c>
      <c r="U63" s="20">
        <f t="shared" si="18"/>
        <v>5898000</v>
      </c>
      <c r="V63" s="20">
        <f t="shared" si="18"/>
        <v>5924000</v>
      </c>
      <c r="W63" s="20">
        <f t="shared" si="18"/>
        <v>6098000</v>
      </c>
      <c r="X63" s="20">
        <f t="shared" si="18"/>
        <v>6122000</v>
      </c>
      <c r="Y63" s="20">
        <f t="shared" si="18"/>
        <v>6144000</v>
      </c>
      <c r="Z63" s="20">
        <f t="shared" si="18"/>
        <v>7666000</v>
      </c>
      <c r="AA63" s="20">
        <f t="shared" si="18"/>
        <v>8138000</v>
      </c>
      <c r="AB63" s="20">
        <f t="shared" si="18"/>
        <v>8608000</v>
      </c>
      <c r="AC63" s="20">
        <f t="shared" si="18"/>
        <v>9078000</v>
      </c>
      <c r="AD63" s="20">
        <f t="shared" si="18"/>
        <v>9548000</v>
      </c>
      <c r="AE63" s="20">
        <f t="shared" si="18"/>
        <v>10018000</v>
      </c>
      <c r="AF63" s="20">
        <f t="shared" si="18"/>
        <v>10486000</v>
      </c>
      <c r="AG63" s="20">
        <f t="shared" si="18"/>
        <v>10954000</v>
      </c>
      <c r="AH63" s="20">
        <f t="shared" si="18"/>
        <v>11422000</v>
      </c>
      <c r="AI63" s="20">
        <f t="shared" si="18"/>
        <v>11888000</v>
      </c>
      <c r="AJ63" s="20">
        <f t="shared" si="18"/>
        <v>12354000</v>
      </c>
      <c r="AK63" s="20">
        <f t="shared" si="18"/>
        <v>12820000</v>
      </c>
      <c r="AL63" s="20">
        <f t="shared" si="18"/>
        <v>15256000</v>
      </c>
      <c r="AM63" s="20">
        <f t="shared" si="18"/>
        <v>15290000</v>
      </c>
      <c r="AN63" s="20">
        <f t="shared" si="18"/>
        <v>15774000</v>
      </c>
      <c r="AO63" s="20">
        <f t="shared" si="18"/>
        <v>16256000</v>
      </c>
      <c r="AP63" s="20">
        <f t="shared" si="18"/>
        <v>16288000</v>
      </c>
      <c r="AQ63" s="20">
        <f t="shared" si="18"/>
        <v>16768000</v>
      </c>
      <c r="AR63" s="20">
        <f t="shared" si="18"/>
        <v>17248000</v>
      </c>
      <c r="AS63" s="20">
        <f t="shared" si="18"/>
        <v>17426000</v>
      </c>
      <c r="AT63" s="20">
        <f t="shared" si="18"/>
        <v>17904000</v>
      </c>
      <c r="AU63" s="20">
        <f t="shared" si="18"/>
        <v>18080000</v>
      </c>
      <c r="AV63" s="20">
        <f t="shared" si="18"/>
        <v>18556000</v>
      </c>
      <c r="AW63" s="20">
        <f t="shared" si="18"/>
        <v>19032000</v>
      </c>
      <c r="AX63" s="20">
        <f t="shared" si="18"/>
        <v>15456000</v>
      </c>
      <c r="AY63" s="20">
        <f t="shared" si="18"/>
        <v>15630000</v>
      </c>
      <c r="AZ63" s="20">
        <f t="shared" si="18"/>
        <v>15954000</v>
      </c>
      <c r="BA63" s="20">
        <f t="shared" si="18"/>
        <v>16126000</v>
      </c>
      <c r="BB63" s="20">
        <f t="shared" si="18"/>
        <v>16448000</v>
      </c>
      <c r="BC63" s="20">
        <f t="shared" si="18"/>
        <v>16620000</v>
      </c>
      <c r="BD63" s="20">
        <f t="shared" si="18"/>
        <v>16640000</v>
      </c>
      <c r="BE63" s="20">
        <f t="shared" si="18"/>
        <v>17110000</v>
      </c>
      <c r="BF63" s="20">
        <f t="shared" si="18"/>
        <v>17130000</v>
      </c>
      <c r="BG63" s="20">
        <f t="shared" si="18"/>
        <v>17298000</v>
      </c>
      <c r="BH63" s="20">
        <f t="shared" si="18"/>
        <v>17316000</v>
      </c>
      <c r="BI63" s="20">
        <f t="shared" si="18"/>
        <v>17784000</v>
      </c>
    </row>
    <row r="64" ht="15.75" customHeight="1">
      <c r="A64" s="4" t="s">
        <v>225</v>
      </c>
      <c r="B64" s="19" t="str">
        <f>'前提'!$B$63+'前提'!$B$64+#REF!+'前提'!$B$66+'前提'!$B$68</f>
        <v>#REF!</v>
      </c>
      <c r="C64" s="20">
        <v>0.0</v>
      </c>
      <c r="D64" s="20">
        <v>0.0</v>
      </c>
      <c r="E64" s="20">
        <v>0.0</v>
      </c>
      <c r="F64" s="20">
        <v>0.0</v>
      </c>
      <c r="G64" s="20">
        <v>0.0</v>
      </c>
      <c r="H64" s="20">
        <v>0.0</v>
      </c>
      <c r="I64" s="20">
        <v>0.0</v>
      </c>
      <c r="J64" s="20">
        <v>0.0</v>
      </c>
      <c r="K64" s="20">
        <v>0.0</v>
      </c>
      <c r="L64" s="20">
        <v>0.0</v>
      </c>
      <c r="M64" s="20">
        <v>0.0</v>
      </c>
      <c r="N64" s="20">
        <v>0.0</v>
      </c>
      <c r="O64" s="20">
        <v>0.0</v>
      </c>
      <c r="P64" s="20">
        <v>0.0</v>
      </c>
      <c r="Q64" s="20">
        <v>0.0</v>
      </c>
      <c r="R64" s="20">
        <v>0.0</v>
      </c>
      <c r="S64" s="20">
        <v>0.0</v>
      </c>
      <c r="T64" s="20">
        <v>0.0</v>
      </c>
      <c r="U64" s="20">
        <v>0.0</v>
      </c>
      <c r="V64" s="20">
        <v>0.0</v>
      </c>
      <c r="W64" s="20">
        <v>0.0</v>
      </c>
      <c r="X64" s="20">
        <v>0.0</v>
      </c>
      <c r="Y64" s="20">
        <v>0.0</v>
      </c>
      <c r="Z64" s="20">
        <v>0.0</v>
      </c>
      <c r="AA64" s="20">
        <v>0.0</v>
      </c>
      <c r="AB64" s="20">
        <v>0.0</v>
      </c>
      <c r="AC64" s="20">
        <v>0.0</v>
      </c>
      <c r="AD64" s="20">
        <v>0.0</v>
      </c>
      <c r="AE64" s="20">
        <v>0.0</v>
      </c>
      <c r="AF64" s="20">
        <v>0.0</v>
      </c>
      <c r="AG64" s="20">
        <v>0.0</v>
      </c>
      <c r="AH64" s="20">
        <v>0.0</v>
      </c>
      <c r="AI64" s="20">
        <v>0.0</v>
      </c>
      <c r="AJ64" s="20">
        <v>0.0</v>
      </c>
      <c r="AK64" s="20">
        <v>0.0</v>
      </c>
      <c r="AL64" s="20">
        <v>0.0</v>
      </c>
      <c r="AM64" s="20">
        <v>0.0</v>
      </c>
      <c r="AN64" s="20">
        <v>0.0</v>
      </c>
      <c r="AO64" s="20">
        <v>0.0</v>
      </c>
      <c r="AP64" s="20">
        <v>0.0</v>
      </c>
      <c r="AQ64" s="20">
        <v>0.0</v>
      </c>
      <c r="AR64" s="20">
        <v>0.0</v>
      </c>
      <c r="AS64" s="20">
        <v>0.0</v>
      </c>
      <c r="AT64" s="20">
        <v>0.0</v>
      </c>
      <c r="AU64" s="20">
        <v>0.0</v>
      </c>
      <c r="AV64" s="20">
        <v>0.0</v>
      </c>
      <c r="AW64" s="20">
        <v>0.0</v>
      </c>
      <c r="AX64" s="20">
        <v>0.0</v>
      </c>
      <c r="AY64" s="20">
        <v>0.0</v>
      </c>
      <c r="AZ64" s="20">
        <v>0.0</v>
      </c>
      <c r="BA64" s="20">
        <v>0.0</v>
      </c>
      <c r="BB64" s="20">
        <v>0.0</v>
      </c>
      <c r="BC64" s="20">
        <v>0.0</v>
      </c>
      <c r="BD64" s="20">
        <v>0.0</v>
      </c>
      <c r="BE64" s="20">
        <v>0.0</v>
      </c>
      <c r="BF64" s="20">
        <v>0.0</v>
      </c>
      <c r="BG64" s="20">
        <v>0.0</v>
      </c>
      <c r="BH64" s="20">
        <v>0.0</v>
      </c>
      <c r="BI64" s="20">
        <v>0.0</v>
      </c>
    </row>
    <row r="65" ht="15.75" customHeight="1">
      <c r="A65" s="4" t="s">
        <v>226</v>
      </c>
      <c r="B65" s="19">
        <f>IF(COLUMN()-1='前提'!$B$72,'前提'!$B$70,0)</f>
        <v>0</v>
      </c>
      <c r="C65" s="19">
        <f>IF(COLUMN()-1='前提'!$B$72,'前提'!$B$70,0)</f>
        <v>0</v>
      </c>
      <c r="D65" s="19">
        <f>IF(COLUMN()-1='前提'!$B$72,'前提'!$B$70,0)</f>
        <v>0</v>
      </c>
      <c r="E65" s="19">
        <f>IF(COLUMN()-1='前提'!$B$72,'前提'!$B$70,0)</f>
        <v>0</v>
      </c>
      <c r="F65" s="19">
        <f>IF(COLUMN()-1='前提'!$B$72,'前提'!$B$70,0)</f>
        <v>0</v>
      </c>
      <c r="G65" s="19">
        <f>IF(COLUMN()-1='前提'!$B$72,'前提'!$B$70,0)</f>
        <v>0</v>
      </c>
      <c r="H65" s="19">
        <f>IF(COLUMN()-1='前提'!$B$72,'前提'!$B$70,0)</f>
        <v>0</v>
      </c>
      <c r="I65" s="19">
        <f>IF(COLUMN()-1='前提'!$B$72,'前提'!$B$70,0)</f>
        <v>0</v>
      </c>
      <c r="J65" s="19">
        <f>IF(COLUMN()-1='前提'!$B$72,'前提'!$B$70,0)</f>
        <v>0</v>
      </c>
      <c r="K65" s="19">
        <f>IF(COLUMN()-1='前提'!$B$72,'前提'!$B$70,0)</f>
        <v>0</v>
      </c>
      <c r="L65" s="19">
        <f>IF(COLUMN()-1='前提'!$B$72,'前提'!$B$70,0)</f>
        <v>0</v>
      </c>
      <c r="M65" s="19">
        <f>IF(COLUMN()-1='前提'!$B$72,'前提'!$B$70,0)</f>
        <v>0</v>
      </c>
      <c r="N65" s="19">
        <f>IF(COLUMN()-1='前提'!$B$72,'前提'!$B$70,0)</f>
        <v>0</v>
      </c>
      <c r="O65" s="19">
        <f>IF(COLUMN()-1='前提'!$B$72,'前提'!$B$70,0)</f>
        <v>0</v>
      </c>
      <c r="P65" s="19">
        <f>IF(COLUMN()-1='前提'!$B$72,'前提'!$B$70,0)</f>
        <v>0</v>
      </c>
      <c r="Q65" s="19">
        <f>IF(COLUMN()-1='前提'!$B$72,'前提'!$B$70,0)</f>
        <v>0</v>
      </c>
      <c r="R65" s="19">
        <f>IF(COLUMN()-1='前提'!$B$72,'前提'!$B$70,0)</f>
        <v>0</v>
      </c>
      <c r="S65" s="19">
        <f>IF(COLUMN()-1='前提'!$B$72,'前提'!$B$70,0)</f>
        <v>0</v>
      </c>
      <c r="T65" s="19">
        <f>IF(COLUMN()-1='前提'!$B$72,'前提'!$B$70,0)</f>
        <v>0</v>
      </c>
      <c r="U65" s="19">
        <f>IF(COLUMN()-1='前提'!$B$72,'前提'!$B$70,0)</f>
        <v>0</v>
      </c>
      <c r="V65" s="19">
        <f>IF(COLUMN()-1='前提'!$B$72,'前提'!$B$70,0)</f>
        <v>0</v>
      </c>
      <c r="W65" s="19">
        <f>IF(COLUMN()-1='前提'!$B$72,'前提'!$B$70,0)</f>
        <v>0</v>
      </c>
      <c r="X65" s="19">
        <f>IF(COLUMN()-1='前提'!$B$72,'前提'!$B$70,0)</f>
        <v>0</v>
      </c>
      <c r="Y65" s="19">
        <f>IF(COLUMN()-1='前提'!$B$72,'前提'!$B$70,0)</f>
        <v>50000000</v>
      </c>
      <c r="Z65" s="19">
        <f>IF(COLUMN()-1='前提'!$B$72,'前提'!$B$70,0)</f>
        <v>0</v>
      </c>
      <c r="AA65" s="19">
        <f>IF(COLUMN()-1='前提'!$B$72,'前提'!$B$70,0)</f>
        <v>0</v>
      </c>
      <c r="AB65" s="19">
        <f>IF(COLUMN()-1='前提'!$B$72,'前提'!$B$70,0)</f>
        <v>0</v>
      </c>
      <c r="AC65" s="19">
        <f>IF(COLUMN()-1='前提'!$B$72,'前提'!$B$70,0)</f>
        <v>0</v>
      </c>
      <c r="AD65" s="19">
        <f>IF(COLUMN()-1='前提'!$B$72,'前提'!$B$70,0)</f>
        <v>0</v>
      </c>
      <c r="AE65" s="19">
        <f>IF(COLUMN()-1='前提'!$B$72,'前提'!$B$70,0)</f>
        <v>0</v>
      </c>
      <c r="AF65" s="19">
        <f>IF(COLUMN()-1='前提'!$B$72,'前提'!$B$70,0)</f>
        <v>0</v>
      </c>
      <c r="AG65" s="19">
        <f>IF(COLUMN()-1='前提'!$B$72,'前提'!$B$70,0)</f>
        <v>0</v>
      </c>
      <c r="AH65" s="19">
        <f>IF(COLUMN()-1='前提'!$B$72,'前提'!$B$70,0)</f>
        <v>0</v>
      </c>
      <c r="AI65" s="19">
        <f>IF(COLUMN()-1='前提'!$B$72,'前提'!$B$70,0)</f>
        <v>0</v>
      </c>
      <c r="AJ65" s="19">
        <f>IF(COLUMN()-1='前提'!$B$72,'前提'!$B$70,0)</f>
        <v>0</v>
      </c>
      <c r="AK65" s="19">
        <f>IF(COLUMN()-1='前提'!$B$72,'前提'!$B$70,0)</f>
        <v>0</v>
      </c>
      <c r="AL65" s="19">
        <f>IF(COLUMN()-1='前提'!$B$72,'前提'!$B$70,0)</f>
        <v>0</v>
      </c>
      <c r="AM65" s="19">
        <f>IF(COLUMN()-1='前提'!$B$72,'前提'!$B$70,0)</f>
        <v>0</v>
      </c>
      <c r="AN65" s="19">
        <f>IF(COLUMN()-1='前提'!$B$72,'前提'!$B$70,0)</f>
        <v>0</v>
      </c>
      <c r="AO65" s="19">
        <f>IF(COLUMN()-1='前提'!$B$72,'前提'!$B$70,0)</f>
        <v>0</v>
      </c>
      <c r="AP65" s="19">
        <f>IF(COLUMN()-1='前提'!$B$72,'前提'!$B$70,0)</f>
        <v>0</v>
      </c>
      <c r="AQ65" s="19">
        <f>IF(COLUMN()-1='前提'!$B$72,'前提'!$B$70,0)</f>
        <v>0</v>
      </c>
      <c r="AR65" s="19">
        <f>IF(COLUMN()-1='前提'!$B$72,'前提'!$B$70,0)</f>
        <v>0</v>
      </c>
      <c r="AS65" s="19">
        <f>IF(COLUMN()-1='前提'!$B$72,'前提'!$B$70,0)</f>
        <v>0</v>
      </c>
      <c r="AT65" s="19">
        <f>IF(COLUMN()-1='前提'!$B$72,'前提'!$B$70,0)</f>
        <v>0</v>
      </c>
      <c r="AU65" s="19">
        <f>IF(COLUMN()-1='前提'!$B$72,'前提'!$B$70,0)</f>
        <v>0</v>
      </c>
      <c r="AV65" s="19">
        <f>IF(COLUMN()-1='前提'!$B$72,'前提'!$B$70,0)</f>
        <v>0</v>
      </c>
      <c r="AW65" s="19">
        <f>IF(COLUMN()-1='前提'!$B$72,'前提'!$B$70,0)</f>
        <v>0</v>
      </c>
      <c r="AX65" s="19">
        <f>IF(COLUMN()-1='前提'!$B$72,'前提'!$B$70,0)</f>
        <v>0</v>
      </c>
      <c r="AY65" s="19">
        <f>IF(COLUMN()-1='前提'!$B$72,'前提'!$B$70,0)</f>
        <v>0</v>
      </c>
      <c r="AZ65" s="19">
        <f>IF(COLUMN()-1='前提'!$B$72,'前提'!$B$70,0)</f>
        <v>0</v>
      </c>
      <c r="BA65" s="19">
        <f>IF(COLUMN()-1='前提'!$B$72,'前提'!$B$70,0)</f>
        <v>0</v>
      </c>
      <c r="BB65" s="19">
        <f>IF(COLUMN()-1='前提'!$B$72,'前提'!$B$70,0)</f>
        <v>0</v>
      </c>
      <c r="BC65" s="19">
        <f>IF(COLUMN()-1='前提'!$B$72,'前提'!$B$70,0)</f>
        <v>0</v>
      </c>
      <c r="BD65" s="19">
        <f>IF(COLUMN()-1='前提'!$B$72,'前提'!$B$70,0)</f>
        <v>0</v>
      </c>
      <c r="BE65" s="19">
        <f>IF(COLUMN()-1='前提'!$B$72,'前提'!$B$70,0)</f>
        <v>0</v>
      </c>
      <c r="BF65" s="19">
        <f>IF(COLUMN()-1='前提'!$B$72,'前提'!$B$70,0)</f>
        <v>0</v>
      </c>
      <c r="BG65" s="19">
        <f>IF(COLUMN()-1='前提'!$B$72,'前提'!$B$70,0)</f>
        <v>0</v>
      </c>
      <c r="BH65" s="19">
        <f>IF(COLUMN()-1='前提'!$B$72,'前提'!$B$70,0)</f>
        <v>0</v>
      </c>
      <c r="BI65" s="19">
        <f>IF(COLUMN()-1='前提'!$B$72,'前提'!$B$70,0)</f>
        <v>0</v>
      </c>
    </row>
    <row r="66" ht="15.75" customHeight="1">
      <c r="A66" s="4" t="s">
        <v>227</v>
      </c>
      <c r="B66" s="20">
        <f>IF(COLUMN()-1&lt;='前提'!$B$75,'前提'!$B$68*'前提'!$B$77/12,IF(COLUMN()-1&lt;='前提'!$B$75+'前提'!$B$76,PMT('前提'!$B$77/12,'前提'!$B$76,-'前提'!$B$68),0))</f>
        <v>0</v>
      </c>
      <c r="C66" s="20">
        <f>IF(COLUMN()-1&lt;='前提'!$B$75,'前提'!$B$68*'前提'!$B$77/12,IF(COLUMN()-1&lt;='前提'!$B$75+'前提'!$B$76,PMT('前提'!$B$77/12,'前提'!$B$76,-'前提'!$B$68),0))</f>
        <v>0</v>
      </c>
      <c r="D66" s="20">
        <f>IF(COLUMN()-1&lt;='前提'!$B$75,'前提'!$B$68*'前提'!$B$77/12,IF(COLUMN()-1&lt;='前提'!$B$75+'前提'!$B$76,PMT('前提'!$B$77/12,'前提'!$B$76,-'前提'!$B$68),0))</f>
        <v>0</v>
      </c>
      <c r="E66" s="20">
        <f>IF(COLUMN()-1&lt;='前提'!$B$75,'前提'!$B$68*'前提'!$B$77/12,IF(COLUMN()-1&lt;='前提'!$B$75+'前提'!$B$76,PMT('前提'!$B$77/12,'前提'!$B$76,-'前提'!$B$68),0))</f>
        <v>0</v>
      </c>
      <c r="F66" s="20">
        <f>IF(COLUMN()-1&lt;='前提'!$B$75,'前提'!$B$68*'前提'!$B$77/12,IF(COLUMN()-1&lt;='前提'!$B$75+'前提'!$B$76,PMT('前提'!$B$77/12,'前提'!$B$76,-'前提'!$B$68),0))</f>
        <v>0</v>
      </c>
      <c r="G66" s="20">
        <f>IF(COLUMN()-1&lt;='前提'!$B$75,'前提'!$B$68*'前提'!$B$77/12,IF(COLUMN()-1&lt;='前提'!$B$75+'前提'!$B$76,PMT('前提'!$B$77/12,'前提'!$B$76,-'前提'!$B$68),0))</f>
        <v>0</v>
      </c>
      <c r="H66" s="20">
        <f>IF(COLUMN()-1&lt;='前提'!$B$75,'前提'!$B$68*'前提'!$B$77/12,IF(COLUMN()-1&lt;='前提'!$B$75+'前提'!$B$76,PMT('前提'!$B$77/12,'前提'!$B$76,-'前提'!$B$68),0))</f>
        <v>0</v>
      </c>
      <c r="I66" s="20">
        <f>IF(COLUMN()-1&lt;='前提'!$B$75,'前提'!$B$68*'前提'!$B$77/12,IF(COLUMN()-1&lt;='前提'!$B$75+'前提'!$B$76,PMT('前提'!$B$77/12,'前提'!$B$76,-'前提'!$B$68),0))</f>
        <v>0</v>
      </c>
      <c r="J66" s="20">
        <f>IF(COLUMN()-1&lt;='前提'!$B$75,'前提'!$B$68*'前提'!$B$77/12,IF(COLUMN()-1&lt;='前提'!$B$75+'前提'!$B$76,PMT('前提'!$B$77/12,'前提'!$B$76,-'前提'!$B$68),0))</f>
        <v>0</v>
      </c>
      <c r="K66" s="20">
        <f>IF(COLUMN()-1&lt;='前提'!$B$75,'前提'!$B$68*'前提'!$B$77/12,IF(COLUMN()-1&lt;='前提'!$B$75+'前提'!$B$76,PMT('前提'!$B$77/12,'前提'!$B$76,-'前提'!$B$68),0))</f>
        <v>0</v>
      </c>
      <c r="L66" s="20">
        <f>IF(COLUMN()-1&lt;='前提'!$B$75,'前提'!$B$68*'前提'!$B$77/12,IF(COLUMN()-1&lt;='前提'!$B$75+'前提'!$B$76,PMT('前提'!$B$77/12,'前提'!$B$76,-'前提'!$B$68),0))</f>
        <v>0</v>
      </c>
      <c r="M66" s="20">
        <f>IF(COLUMN()-1&lt;='前提'!$B$75,'前提'!$B$68*'前提'!$B$77/12,IF(COLUMN()-1&lt;='前提'!$B$75+'前提'!$B$76,PMT('前提'!$B$77/12,'前提'!$B$76,-'前提'!$B$68),0))</f>
        <v>0</v>
      </c>
      <c r="N66" s="20">
        <f>IF(COLUMN()-1&lt;='前提'!$B$75,'前提'!$B$68*'前提'!$B$77/12,IF(COLUMN()-1&lt;='前提'!$B$75+'前提'!$B$76,PMT('前提'!$B$77/12,'前提'!$B$76,-'前提'!$B$68),0))</f>
        <v>0</v>
      </c>
      <c r="O66" s="20">
        <f>IF(COLUMN()-1&lt;='前提'!$B$75,'前提'!$B$68*'前提'!$B$77/12,IF(COLUMN()-1&lt;='前提'!$B$75+'前提'!$B$76,PMT('前提'!$B$77/12,'前提'!$B$76,-'前提'!$B$68),0))</f>
        <v>0</v>
      </c>
      <c r="P66" s="20">
        <f>IF(COLUMN()-1&lt;='前提'!$B$75,'前提'!$B$68*'前提'!$B$77/12,IF(COLUMN()-1&lt;='前提'!$B$75+'前提'!$B$76,PMT('前提'!$B$77/12,'前提'!$B$76,-'前提'!$B$68),0))</f>
        <v>0</v>
      </c>
      <c r="Q66" s="20">
        <f>IF(COLUMN()-1&lt;='前提'!$B$75,'前提'!$B$68*'前提'!$B$77/12,IF(COLUMN()-1&lt;='前提'!$B$75+'前提'!$B$76,PMT('前提'!$B$77/12,'前提'!$B$76,-'前提'!$B$68),0))</f>
        <v>0</v>
      </c>
      <c r="R66" s="20">
        <f>IF(COLUMN()-1&lt;='前提'!$B$75,'前提'!$B$68*'前提'!$B$77/12,IF(COLUMN()-1&lt;='前提'!$B$75+'前提'!$B$76,PMT('前提'!$B$77/12,'前提'!$B$76,-'前提'!$B$68),0))</f>
        <v>0</v>
      </c>
      <c r="S66" s="20">
        <f>IF(COLUMN()-1&lt;='前提'!$B$75,'前提'!$B$68*'前提'!$B$77/12,IF(COLUMN()-1&lt;='前提'!$B$75+'前提'!$B$76,PMT('前提'!$B$77/12,'前提'!$B$76,-'前提'!$B$68),0))</f>
        <v>0</v>
      </c>
      <c r="T66" s="20">
        <f>IF(COLUMN()-1&lt;='前提'!$B$75,'前提'!$B$68*'前提'!$B$77/12,IF(COLUMN()-1&lt;='前提'!$B$75+'前提'!$B$76,PMT('前提'!$B$77/12,'前提'!$B$76,-'前提'!$B$68),0))</f>
        <v>0</v>
      </c>
      <c r="U66" s="20">
        <f>IF(COLUMN()-1&lt;='前提'!$B$75,'前提'!$B$68*'前提'!$B$77/12,IF(COLUMN()-1&lt;='前提'!$B$75+'前提'!$B$76,PMT('前提'!$B$77/12,'前提'!$B$76,-'前提'!$B$68),0))</f>
        <v>0</v>
      </c>
      <c r="V66" s="20">
        <f>IF(COLUMN()-1&lt;='前提'!$B$75,'前提'!$B$68*'前提'!$B$77/12,IF(COLUMN()-1&lt;='前提'!$B$75+'前提'!$B$76,PMT('前提'!$B$77/12,'前提'!$B$76,-'前提'!$B$68),0))</f>
        <v>0</v>
      </c>
      <c r="W66" s="20">
        <f>IF(COLUMN()-1&lt;='前提'!$B$75,'前提'!$B$68*'前提'!$B$77/12,IF(COLUMN()-1&lt;='前提'!$B$75+'前提'!$B$76,PMT('前提'!$B$77/12,'前提'!$B$76,-'前提'!$B$68),0))</f>
        <v>0</v>
      </c>
      <c r="X66" s="20">
        <f>IF(COLUMN()-1&lt;='前提'!$B$75,'前提'!$B$68*'前提'!$B$77/12,IF(COLUMN()-1&lt;='前提'!$B$75+'前提'!$B$76,PMT('前提'!$B$77/12,'前提'!$B$76,-'前提'!$B$68),0))</f>
        <v>0</v>
      </c>
      <c r="Y66" s="20">
        <f>IF(COLUMN()-1&lt;='前提'!$B$75,'前提'!$B$68*'前提'!$B$77/12,IF(COLUMN()-1&lt;='前提'!$B$75+'前提'!$B$76,PMT('前提'!$B$77/12,'前提'!$B$76,-'前提'!$B$68),0))</f>
        <v>0</v>
      </c>
      <c r="Z66" s="20">
        <f>IF(COLUMN()-1&lt;='前提'!$B$75,'前提'!$B$68*'前提'!$B$77/12,IF(COLUMN()-1&lt;='前提'!$B$75+'前提'!$B$76,PMT('前提'!$B$77/12,'前提'!$B$76,-'前提'!$B$68),0))</f>
        <v>0</v>
      </c>
      <c r="AA66" s="20">
        <f>IF(COLUMN()-1&lt;='前提'!$B$75,'前提'!$B$68*'前提'!$B$77/12,IF(COLUMN()-1&lt;='前提'!$B$75+'前提'!$B$76,PMT('前提'!$B$77/12,'前提'!$B$76,-'前提'!$B$68),0))</f>
        <v>0</v>
      </c>
      <c r="AB66" s="20">
        <f>IF(COLUMN()-1&lt;='前提'!$B$75,'前提'!$B$68*'前提'!$B$77/12,IF(COLUMN()-1&lt;='前提'!$B$75+'前提'!$B$76,PMT('前提'!$B$77/12,'前提'!$B$76,-'前提'!$B$68),0))</f>
        <v>0</v>
      </c>
      <c r="AC66" s="20">
        <f>IF(COLUMN()-1&lt;='前提'!$B$75,'前提'!$B$68*'前提'!$B$77/12,IF(COLUMN()-1&lt;='前提'!$B$75+'前提'!$B$76,PMT('前提'!$B$77/12,'前提'!$B$76,-'前提'!$B$68),0))</f>
        <v>0</v>
      </c>
      <c r="AD66" s="20">
        <f>IF(COLUMN()-1&lt;='前提'!$B$75,'前提'!$B$68*'前提'!$B$77/12,IF(COLUMN()-1&lt;='前提'!$B$75+'前提'!$B$76,PMT('前提'!$B$77/12,'前提'!$B$76,-'前提'!$B$68),0))</f>
        <v>0</v>
      </c>
      <c r="AE66" s="20">
        <f>IF(COLUMN()-1&lt;='前提'!$B$75,'前提'!$B$68*'前提'!$B$77/12,IF(COLUMN()-1&lt;='前提'!$B$75+'前提'!$B$76,PMT('前提'!$B$77/12,'前提'!$B$76,-'前提'!$B$68),0))</f>
        <v>0</v>
      </c>
      <c r="AF66" s="20">
        <f>IF(COLUMN()-1&lt;='前提'!$B$75,'前提'!$B$68*'前提'!$B$77/12,IF(COLUMN()-1&lt;='前提'!$B$75+'前提'!$B$76,PMT('前提'!$B$77/12,'前提'!$B$76,-'前提'!$B$68),0))</f>
        <v>0</v>
      </c>
      <c r="AG66" s="20">
        <f>IF(COLUMN()-1&lt;='前提'!$B$75,'前提'!$B$68*'前提'!$B$77/12,IF(COLUMN()-1&lt;='前提'!$B$75+'前提'!$B$76,PMT('前提'!$B$77/12,'前提'!$B$76,-'前提'!$B$68),0))</f>
        <v>0</v>
      </c>
      <c r="AH66" s="20">
        <f>IF(COLUMN()-1&lt;='前提'!$B$75,'前提'!$B$68*'前提'!$B$77/12,IF(COLUMN()-1&lt;='前提'!$B$75+'前提'!$B$76,PMT('前提'!$B$77/12,'前提'!$B$76,-'前提'!$B$68),0))</f>
        <v>0</v>
      </c>
      <c r="AI66" s="20">
        <f>IF(COLUMN()-1&lt;='前提'!$B$75,'前提'!$B$68*'前提'!$B$77/12,IF(COLUMN()-1&lt;='前提'!$B$75+'前提'!$B$76,PMT('前提'!$B$77/12,'前提'!$B$76,-'前提'!$B$68),0))</f>
        <v>0</v>
      </c>
      <c r="AJ66" s="20">
        <f>IF(COLUMN()-1&lt;='前提'!$B$75,'前提'!$B$68*'前提'!$B$77/12,IF(COLUMN()-1&lt;='前提'!$B$75+'前提'!$B$76,PMT('前提'!$B$77/12,'前提'!$B$76,-'前提'!$B$68),0))</f>
        <v>0</v>
      </c>
      <c r="AK66" s="20">
        <f>IF(COLUMN()-1&lt;='前提'!$B$75,'前提'!$B$68*'前提'!$B$77/12,IF(COLUMN()-1&lt;='前提'!$B$75+'前提'!$B$76,PMT('前提'!$B$77/12,'前提'!$B$76,-'前提'!$B$68),0))</f>
        <v>0</v>
      </c>
      <c r="AL66" s="20">
        <f>IF(COLUMN()-1&lt;='前提'!$B$75,'前提'!$B$68*'前提'!$B$77/12,IF(COLUMN()-1&lt;='前提'!$B$75+'前提'!$B$76,PMT('前提'!$B$77/12,'前提'!$B$76,-'前提'!$B$68),0))</f>
        <v>0</v>
      </c>
      <c r="AM66" s="20">
        <f>IF(COLUMN()-1&lt;='前提'!$B$75,'前提'!$B$68*'前提'!$B$77/12,IF(COLUMN()-1&lt;='前提'!$B$75+'前提'!$B$76,PMT('前提'!$B$77/12,'前提'!$B$76,-'前提'!$B$68),0))</f>
        <v>0</v>
      </c>
      <c r="AN66" s="20">
        <f>IF(COLUMN()-1&lt;='前提'!$B$75,'前提'!$B$68*'前提'!$B$77/12,IF(COLUMN()-1&lt;='前提'!$B$75+'前提'!$B$76,PMT('前提'!$B$77/12,'前提'!$B$76,-'前提'!$B$68),0))</f>
        <v>0</v>
      </c>
      <c r="AO66" s="20">
        <f>IF(COLUMN()-1&lt;='前提'!$B$75,'前提'!$B$68*'前提'!$B$77/12,IF(COLUMN()-1&lt;='前提'!$B$75+'前提'!$B$76,PMT('前提'!$B$77/12,'前提'!$B$76,-'前提'!$B$68),0))</f>
        <v>0</v>
      </c>
      <c r="AP66" s="20">
        <f>IF(COLUMN()-1&lt;='前提'!$B$75,'前提'!$B$68*'前提'!$B$77/12,IF(COLUMN()-1&lt;='前提'!$B$75+'前提'!$B$76,PMT('前提'!$B$77/12,'前提'!$B$76,-'前提'!$B$68),0))</f>
        <v>0</v>
      </c>
      <c r="AQ66" s="20">
        <f>IF(COLUMN()-1&lt;='前提'!$B$75,'前提'!$B$68*'前提'!$B$77/12,IF(COLUMN()-1&lt;='前提'!$B$75+'前提'!$B$76,PMT('前提'!$B$77/12,'前提'!$B$76,-'前提'!$B$68),0))</f>
        <v>0</v>
      </c>
      <c r="AR66" s="20">
        <f>IF(COLUMN()-1&lt;='前提'!$B$75,'前提'!$B$68*'前提'!$B$77/12,IF(COLUMN()-1&lt;='前提'!$B$75+'前提'!$B$76,PMT('前提'!$B$77/12,'前提'!$B$76,-'前提'!$B$68),0))</f>
        <v>0</v>
      </c>
      <c r="AS66" s="20">
        <f>IF(COLUMN()-1&lt;='前提'!$B$75,'前提'!$B$68*'前提'!$B$77/12,IF(COLUMN()-1&lt;='前提'!$B$75+'前提'!$B$76,PMT('前提'!$B$77/12,'前提'!$B$76,-'前提'!$B$68),0))</f>
        <v>0</v>
      </c>
      <c r="AT66" s="20">
        <f>IF(COLUMN()-1&lt;='前提'!$B$75,'前提'!$B$68*'前提'!$B$77/12,IF(COLUMN()-1&lt;='前提'!$B$75+'前提'!$B$76,PMT('前提'!$B$77/12,'前提'!$B$76,-'前提'!$B$68),0))</f>
        <v>0</v>
      </c>
      <c r="AU66" s="20">
        <f>IF(COLUMN()-1&lt;='前提'!$B$75,'前提'!$B$68*'前提'!$B$77/12,IF(COLUMN()-1&lt;='前提'!$B$75+'前提'!$B$76,PMT('前提'!$B$77/12,'前提'!$B$76,-'前提'!$B$68),0))</f>
        <v>0</v>
      </c>
      <c r="AV66" s="20">
        <f>IF(COLUMN()-1&lt;='前提'!$B$75,'前提'!$B$68*'前提'!$B$77/12,IF(COLUMN()-1&lt;='前提'!$B$75+'前提'!$B$76,PMT('前提'!$B$77/12,'前提'!$B$76,-'前提'!$B$68),0))</f>
        <v>0</v>
      </c>
      <c r="AW66" s="20">
        <f>IF(COLUMN()-1&lt;='前提'!$B$75,'前提'!$B$68*'前提'!$B$77/12,IF(COLUMN()-1&lt;='前提'!$B$75+'前提'!$B$76,PMT('前提'!$B$77/12,'前提'!$B$76,-'前提'!$B$68),0))</f>
        <v>0</v>
      </c>
      <c r="AX66" s="20">
        <f>IF(COLUMN()-1&lt;='前提'!$B$75,'前提'!$B$68*'前提'!$B$77/12,IF(COLUMN()-1&lt;='前提'!$B$75+'前提'!$B$76,PMT('前提'!$B$77/12,'前提'!$B$76,-'前提'!$B$68),0))</f>
        <v>0</v>
      </c>
      <c r="AY66" s="20">
        <f>IF(COLUMN()-1&lt;='前提'!$B$75,'前提'!$B$68*'前提'!$B$77/12,IF(COLUMN()-1&lt;='前提'!$B$75+'前提'!$B$76,PMT('前提'!$B$77/12,'前提'!$B$76,-'前提'!$B$68),0))</f>
        <v>0</v>
      </c>
      <c r="AZ66" s="20">
        <f>IF(COLUMN()-1&lt;='前提'!$B$75,'前提'!$B$68*'前提'!$B$77/12,IF(COLUMN()-1&lt;='前提'!$B$75+'前提'!$B$76,PMT('前提'!$B$77/12,'前提'!$B$76,-'前提'!$B$68),0))</f>
        <v>0</v>
      </c>
      <c r="BA66" s="20">
        <f>IF(COLUMN()-1&lt;='前提'!$B$75,'前提'!$B$68*'前提'!$B$77/12,IF(COLUMN()-1&lt;='前提'!$B$75+'前提'!$B$76,PMT('前提'!$B$77/12,'前提'!$B$76,-'前提'!$B$68),0))</f>
        <v>0</v>
      </c>
      <c r="BB66" s="20">
        <f>IF(COLUMN()-1&lt;='前提'!$B$75,'前提'!$B$68*'前提'!$B$77/12,IF(COLUMN()-1&lt;='前提'!$B$75+'前提'!$B$76,PMT('前提'!$B$77/12,'前提'!$B$76,-'前提'!$B$68),0))</f>
        <v>0</v>
      </c>
      <c r="BC66" s="20">
        <f>IF(COLUMN()-1&lt;='前提'!$B$75,'前提'!$B$68*'前提'!$B$77/12,IF(COLUMN()-1&lt;='前提'!$B$75+'前提'!$B$76,PMT('前提'!$B$77/12,'前提'!$B$76,-'前提'!$B$68),0))</f>
        <v>0</v>
      </c>
      <c r="BD66" s="20">
        <f>IF(COLUMN()-1&lt;='前提'!$B$75,'前提'!$B$68*'前提'!$B$77/12,IF(COLUMN()-1&lt;='前提'!$B$75+'前提'!$B$76,PMT('前提'!$B$77/12,'前提'!$B$76,-'前提'!$B$68),0))</f>
        <v>0</v>
      </c>
      <c r="BE66" s="20">
        <f>IF(COLUMN()-1&lt;='前提'!$B$75,'前提'!$B$68*'前提'!$B$77/12,IF(COLUMN()-1&lt;='前提'!$B$75+'前提'!$B$76,PMT('前提'!$B$77/12,'前提'!$B$76,-'前提'!$B$68),0))</f>
        <v>0</v>
      </c>
      <c r="BF66" s="20">
        <f>IF(COLUMN()-1&lt;='前提'!$B$75,'前提'!$B$68*'前提'!$B$77/12,IF(COLUMN()-1&lt;='前提'!$B$75+'前提'!$B$76,PMT('前提'!$B$77/12,'前提'!$B$76,-'前提'!$B$68),0))</f>
        <v>0</v>
      </c>
      <c r="BG66" s="20">
        <f>IF(COLUMN()-1&lt;='前提'!$B$75,'前提'!$B$68*'前提'!$B$77/12,IF(COLUMN()-1&lt;='前提'!$B$75+'前提'!$B$76,PMT('前提'!$B$77/12,'前提'!$B$76,-'前提'!$B$68),0))</f>
        <v>0</v>
      </c>
      <c r="BH66" s="20">
        <f>IF(COLUMN()-1&lt;='前提'!$B$75,'前提'!$B$68*'前提'!$B$77/12,IF(COLUMN()-1&lt;='前提'!$B$75+'前提'!$B$76,PMT('前提'!$B$77/12,'前提'!$B$76,-'前提'!$B$68),0))</f>
        <v>0</v>
      </c>
      <c r="BI66" s="20">
        <f>IF(COLUMN()-1&lt;='前提'!$B$75,'前提'!$B$68*'前提'!$B$77/12,IF(COLUMN()-1&lt;='前提'!$B$75+'前提'!$B$76,PMT('前提'!$B$77/12,'前提'!$B$76,-'前提'!$B$68),0))</f>
        <v>0</v>
      </c>
    </row>
    <row r="67" ht="15.75" customHeight="1">
      <c r="A67" s="4" t="s">
        <v>228</v>
      </c>
      <c r="B67" s="23" t="str">
        <f>B64+B65-B61-B66</f>
        <v>#REF!</v>
      </c>
      <c r="C67" s="23" t="str">
        <f t="shared" ref="C67:BI67" si="19">B67+C64+C65-C61-C66</f>
        <v>#REF!</v>
      </c>
      <c r="D67" s="23" t="str">
        <f t="shared" si="19"/>
        <v>#REF!</v>
      </c>
      <c r="E67" s="23" t="str">
        <f t="shared" si="19"/>
        <v>#REF!</v>
      </c>
      <c r="F67" s="23" t="str">
        <f t="shared" si="19"/>
        <v>#REF!</v>
      </c>
      <c r="G67" s="23" t="str">
        <f t="shared" si="19"/>
        <v>#REF!</v>
      </c>
      <c r="H67" s="23" t="str">
        <f t="shared" si="19"/>
        <v>#REF!</v>
      </c>
      <c r="I67" s="23" t="str">
        <f t="shared" si="19"/>
        <v>#REF!</v>
      </c>
      <c r="J67" s="23" t="str">
        <f t="shared" si="19"/>
        <v>#REF!</v>
      </c>
      <c r="K67" s="23" t="str">
        <f t="shared" si="19"/>
        <v>#REF!</v>
      </c>
      <c r="L67" s="23" t="str">
        <f t="shared" si="19"/>
        <v>#REF!</v>
      </c>
      <c r="M67" s="23" t="str">
        <f t="shared" si="19"/>
        <v>#REF!</v>
      </c>
      <c r="N67" s="23" t="str">
        <f t="shared" si="19"/>
        <v>#REF!</v>
      </c>
      <c r="O67" s="23" t="str">
        <f t="shared" si="19"/>
        <v>#REF!</v>
      </c>
      <c r="P67" s="23" t="str">
        <f t="shared" si="19"/>
        <v>#REF!</v>
      </c>
      <c r="Q67" s="23" t="str">
        <f t="shared" si="19"/>
        <v>#REF!</v>
      </c>
      <c r="R67" s="23" t="str">
        <f t="shared" si="19"/>
        <v>#REF!</v>
      </c>
      <c r="S67" s="23" t="str">
        <f t="shared" si="19"/>
        <v>#REF!</v>
      </c>
      <c r="T67" s="23" t="str">
        <f t="shared" si="19"/>
        <v>#REF!</v>
      </c>
      <c r="U67" s="23" t="str">
        <f t="shared" si="19"/>
        <v>#REF!</v>
      </c>
      <c r="V67" s="23" t="str">
        <f t="shared" si="19"/>
        <v>#REF!</v>
      </c>
      <c r="W67" s="23" t="str">
        <f t="shared" si="19"/>
        <v>#REF!</v>
      </c>
      <c r="X67" s="23" t="str">
        <f t="shared" si="19"/>
        <v>#REF!</v>
      </c>
      <c r="Y67" s="23" t="str">
        <f t="shared" si="19"/>
        <v>#REF!</v>
      </c>
      <c r="Z67" s="23" t="str">
        <f t="shared" si="19"/>
        <v>#REF!</v>
      </c>
      <c r="AA67" s="23" t="str">
        <f t="shared" si="19"/>
        <v>#REF!</v>
      </c>
      <c r="AB67" s="23" t="str">
        <f t="shared" si="19"/>
        <v>#REF!</v>
      </c>
      <c r="AC67" s="23" t="str">
        <f t="shared" si="19"/>
        <v>#REF!</v>
      </c>
      <c r="AD67" s="23" t="str">
        <f t="shared" si="19"/>
        <v>#REF!</v>
      </c>
      <c r="AE67" s="23" t="str">
        <f t="shared" si="19"/>
        <v>#REF!</v>
      </c>
      <c r="AF67" s="23" t="str">
        <f t="shared" si="19"/>
        <v>#REF!</v>
      </c>
      <c r="AG67" s="23" t="str">
        <f t="shared" si="19"/>
        <v>#REF!</v>
      </c>
      <c r="AH67" s="23" t="str">
        <f t="shared" si="19"/>
        <v>#REF!</v>
      </c>
      <c r="AI67" s="23" t="str">
        <f t="shared" si="19"/>
        <v>#REF!</v>
      </c>
      <c r="AJ67" s="23" t="str">
        <f t="shared" si="19"/>
        <v>#REF!</v>
      </c>
      <c r="AK67" s="23" t="str">
        <f t="shared" si="19"/>
        <v>#REF!</v>
      </c>
      <c r="AL67" s="23" t="str">
        <f t="shared" si="19"/>
        <v>#REF!</v>
      </c>
      <c r="AM67" s="23" t="str">
        <f t="shared" si="19"/>
        <v>#REF!</v>
      </c>
      <c r="AN67" s="23" t="str">
        <f t="shared" si="19"/>
        <v>#REF!</v>
      </c>
      <c r="AO67" s="23" t="str">
        <f t="shared" si="19"/>
        <v>#REF!</v>
      </c>
      <c r="AP67" s="23" t="str">
        <f t="shared" si="19"/>
        <v>#REF!</v>
      </c>
      <c r="AQ67" s="23" t="str">
        <f t="shared" si="19"/>
        <v>#REF!</v>
      </c>
      <c r="AR67" s="23" t="str">
        <f t="shared" si="19"/>
        <v>#REF!</v>
      </c>
      <c r="AS67" s="23" t="str">
        <f t="shared" si="19"/>
        <v>#REF!</v>
      </c>
      <c r="AT67" s="23" t="str">
        <f t="shared" si="19"/>
        <v>#REF!</v>
      </c>
      <c r="AU67" s="23" t="str">
        <f t="shared" si="19"/>
        <v>#REF!</v>
      </c>
      <c r="AV67" s="23" t="str">
        <f t="shared" si="19"/>
        <v>#REF!</v>
      </c>
      <c r="AW67" s="23" t="str">
        <f t="shared" si="19"/>
        <v>#REF!</v>
      </c>
      <c r="AX67" s="23" t="str">
        <f t="shared" si="19"/>
        <v>#REF!</v>
      </c>
      <c r="AY67" s="23" t="str">
        <f t="shared" si="19"/>
        <v>#REF!</v>
      </c>
      <c r="AZ67" s="23" t="str">
        <f t="shared" si="19"/>
        <v>#REF!</v>
      </c>
      <c r="BA67" s="23" t="str">
        <f t="shared" si="19"/>
        <v>#REF!</v>
      </c>
      <c r="BB67" s="23" t="str">
        <f t="shared" si="19"/>
        <v>#REF!</v>
      </c>
      <c r="BC67" s="23" t="str">
        <f t="shared" si="19"/>
        <v>#REF!</v>
      </c>
      <c r="BD67" s="23" t="str">
        <f t="shared" si="19"/>
        <v>#REF!</v>
      </c>
      <c r="BE67" s="23" t="str">
        <f t="shared" si="19"/>
        <v>#REF!</v>
      </c>
      <c r="BF67" s="23" t="str">
        <f t="shared" si="19"/>
        <v>#REF!</v>
      </c>
      <c r="BG67" s="23" t="str">
        <f t="shared" si="19"/>
        <v>#REF!</v>
      </c>
      <c r="BH67" s="23" t="str">
        <f t="shared" si="19"/>
        <v>#REF!</v>
      </c>
      <c r="BI67" s="23" t="str">
        <f t="shared" si="19"/>
        <v>#REF!</v>
      </c>
    </row>
    <row r="68" ht="15.75" customHeight="1">
      <c r="A68" s="4" t="s">
        <v>229</v>
      </c>
      <c r="B68" s="21" t="str">
        <f t="shared" ref="B68:BI68" si="20">IF(B67&lt;=0,0,IF(B63&gt;0,B67/B63,""))</f>
        <v>#REF!</v>
      </c>
      <c r="C68" s="21" t="str">
        <f t="shared" si="20"/>
        <v>#REF!</v>
      </c>
      <c r="D68" s="21" t="str">
        <f t="shared" si="20"/>
        <v>#REF!</v>
      </c>
      <c r="E68" s="21" t="str">
        <f t="shared" si="20"/>
        <v>#REF!</v>
      </c>
      <c r="F68" s="21" t="str">
        <f t="shared" si="20"/>
        <v>#REF!</v>
      </c>
      <c r="G68" s="21" t="str">
        <f t="shared" si="20"/>
        <v>#REF!</v>
      </c>
      <c r="H68" s="21" t="str">
        <f t="shared" si="20"/>
        <v>#REF!</v>
      </c>
      <c r="I68" s="21" t="str">
        <f t="shared" si="20"/>
        <v>#REF!</v>
      </c>
      <c r="J68" s="21" t="str">
        <f t="shared" si="20"/>
        <v>#REF!</v>
      </c>
      <c r="K68" s="21" t="str">
        <f t="shared" si="20"/>
        <v>#REF!</v>
      </c>
      <c r="L68" s="21" t="str">
        <f t="shared" si="20"/>
        <v>#REF!</v>
      </c>
      <c r="M68" s="21" t="str">
        <f t="shared" si="20"/>
        <v>#REF!</v>
      </c>
      <c r="N68" s="21" t="str">
        <f t="shared" si="20"/>
        <v>#REF!</v>
      </c>
      <c r="O68" s="21" t="str">
        <f t="shared" si="20"/>
        <v>#REF!</v>
      </c>
      <c r="P68" s="21" t="str">
        <f t="shared" si="20"/>
        <v>#REF!</v>
      </c>
      <c r="Q68" s="21" t="str">
        <f t="shared" si="20"/>
        <v>#REF!</v>
      </c>
      <c r="R68" s="21" t="str">
        <f t="shared" si="20"/>
        <v>#REF!</v>
      </c>
      <c r="S68" s="21" t="str">
        <f t="shared" si="20"/>
        <v>#REF!</v>
      </c>
      <c r="T68" s="21" t="str">
        <f t="shared" si="20"/>
        <v>#REF!</v>
      </c>
      <c r="U68" s="21" t="str">
        <f t="shared" si="20"/>
        <v>#REF!</v>
      </c>
      <c r="V68" s="21" t="str">
        <f t="shared" si="20"/>
        <v>#REF!</v>
      </c>
      <c r="W68" s="21" t="str">
        <f t="shared" si="20"/>
        <v>#REF!</v>
      </c>
      <c r="X68" s="21" t="str">
        <f t="shared" si="20"/>
        <v>#REF!</v>
      </c>
      <c r="Y68" s="21" t="str">
        <f t="shared" si="20"/>
        <v>#REF!</v>
      </c>
      <c r="Z68" s="21" t="str">
        <f t="shared" si="20"/>
        <v>#REF!</v>
      </c>
      <c r="AA68" s="21" t="str">
        <f t="shared" si="20"/>
        <v>#REF!</v>
      </c>
      <c r="AB68" s="21" t="str">
        <f t="shared" si="20"/>
        <v>#REF!</v>
      </c>
      <c r="AC68" s="21" t="str">
        <f t="shared" si="20"/>
        <v>#REF!</v>
      </c>
      <c r="AD68" s="21" t="str">
        <f t="shared" si="20"/>
        <v>#REF!</v>
      </c>
      <c r="AE68" s="21" t="str">
        <f t="shared" si="20"/>
        <v>#REF!</v>
      </c>
      <c r="AF68" s="21" t="str">
        <f t="shared" si="20"/>
        <v>#REF!</v>
      </c>
      <c r="AG68" s="21" t="str">
        <f t="shared" si="20"/>
        <v>#REF!</v>
      </c>
      <c r="AH68" s="21" t="str">
        <f t="shared" si="20"/>
        <v>#REF!</v>
      </c>
      <c r="AI68" s="21" t="str">
        <f t="shared" si="20"/>
        <v>#REF!</v>
      </c>
      <c r="AJ68" s="21" t="str">
        <f t="shared" si="20"/>
        <v>#REF!</v>
      </c>
      <c r="AK68" s="21" t="str">
        <f t="shared" si="20"/>
        <v>#REF!</v>
      </c>
      <c r="AL68" s="21" t="str">
        <f t="shared" si="20"/>
        <v>#REF!</v>
      </c>
      <c r="AM68" s="21" t="str">
        <f t="shared" si="20"/>
        <v>#REF!</v>
      </c>
      <c r="AN68" s="21" t="str">
        <f t="shared" si="20"/>
        <v>#REF!</v>
      </c>
      <c r="AO68" s="21" t="str">
        <f t="shared" si="20"/>
        <v>#REF!</v>
      </c>
      <c r="AP68" s="21" t="str">
        <f t="shared" si="20"/>
        <v>#REF!</v>
      </c>
      <c r="AQ68" s="21" t="str">
        <f t="shared" si="20"/>
        <v>#REF!</v>
      </c>
      <c r="AR68" s="21" t="str">
        <f t="shared" si="20"/>
        <v>#REF!</v>
      </c>
      <c r="AS68" s="21" t="str">
        <f t="shared" si="20"/>
        <v>#REF!</v>
      </c>
      <c r="AT68" s="21" t="str">
        <f t="shared" si="20"/>
        <v>#REF!</v>
      </c>
      <c r="AU68" s="21" t="str">
        <f t="shared" si="20"/>
        <v>#REF!</v>
      </c>
      <c r="AV68" s="21" t="str">
        <f t="shared" si="20"/>
        <v>#REF!</v>
      </c>
      <c r="AW68" s="21" t="str">
        <f t="shared" si="20"/>
        <v>#REF!</v>
      </c>
      <c r="AX68" s="21" t="str">
        <f t="shared" si="20"/>
        <v>#REF!</v>
      </c>
      <c r="AY68" s="21" t="str">
        <f t="shared" si="20"/>
        <v>#REF!</v>
      </c>
      <c r="AZ68" s="21" t="str">
        <f t="shared" si="20"/>
        <v>#REF!</v>
      </c>
      <c r="BA68" s="21" t="str">
        <f t="shared" si="20"/>
        <v>#REF!</v>
      </c>
      <c r="BB68" s="21" t="str">
        <f t="shared" si="20"/>
        <v>#REF!</v>
      </c>
      <c r="BC68" s="21" t="str">
        <f t="shared" si="20"/>
        <v>#REF!</v>
      </c>
      <c r="BD68" s="21" t="str">
        <f t="shared" si="20"/>
        <v>#REF!</v>
      </c>
      <c r="BE68" s="21" t="str">
        <f t="shared" si="20"/>
        <v>#REF!</v>
      </c>
      <c r="BF68" s="21" t="str">
        <f t="shared" si="20"/>
        <v>#REF!</v>
      </c>
      <c r="BG68" s="21" t="str">
        <f t="shared" si="20"/>
        <v>#REF!</v>
      </c>
      <c r="BH68" s="21" t="str">
        <f t="shared" si="20"/>
        <v>#REF!</v>
      </c>
      <c r="BI68" s="21" t="str">
        <f t="shared" si="20"/>
        <v>#REF!</v>
      </c>
    </row>
    <row r="69" ht="15.75" customHeight="1"/>
    <row r="70" ht="15.75" customHeight="1">
      <c r="A70" s="2" t="s">
        <v>230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</row>
    <row r="71" ht="15.75" customHeight="1">
      <c r="A71" s="4" t="s">
        <v>231</v>
      </c>
      <c r="B71" s="21">
        <v>1.0</v>
      </c>
      <c r="C71" s="21">
        <v>1.0</v>
      </c>
      <c r="D71" s="21">
        <v>1.0</v>
      </c>
      <c r="E71" s="21">
        <v>1.0</v>
      </c>
      <c r="F71" s="21">
        <v>1.0</v>
      </c>
      <c r="G71" s="21">
        <v>1.0</v>
      </c>
      <c r="H71" s="21">
        <v>1.0</v>
      </c>
      <c r="I71" s="21">
        <v>1.0</v>
      </c>
      <c r="J71" s="21">
        <v>1.0</v>
      </c>
      <c r="K71" s="21">
        <v>1.0</v>
      </c>
      <c r="L71" s="21">
        <v>1.0</v>
      </c>
      <c r="M71" s="21">
        <v>1.0</v>
      </c>
      <c r="N71" s="21">
        <v>1.0</v>
      </c>
      <c r="O71" s="21">
        <v>1.0</v>
      </c>
      <c r="P71" s="21">
        <v>1.0</v>
      </c>
      <c r="Q71" s="21">
        <v>1.0</v>
      </c>
      <c r="R71" s="21">
        <v>1.0</v>
      </c>
      <c r="S71" s="21">
        <v>1.0</v>
      </c>
      <c r="T71" s="21">
        <v>1.0</v>
      </c>
      <c r="U71" s="21">
        <v>1.0</v>
      </c>
      <c r="V71" s="21">
        <v>1.0</v>
      </c>
      <c r="W71" s="21">
        <v>1.0</v>
      </c>
      <c r="X71" s="21">
        <v>1.0</v>
      </c>
      <c r="Y71" s="21">
        <v>1.0</v>
      </c>
      <c r="Z71" s="21">
        <v>1.0</v>
      </c>
      <c r="AA71" s="21">
        <v>1.0</v>
      </c>
      <c r="AB71" s="21">
        <v>1.0</v>
      </c>
      <c r="AC71" s="21">
        <v>1.0</v>
      </c>
      <c r="AD71" s="21">
        <v>1.0</v>
      </c>
      <c r="AE71" s="21">
        <v>1.0</v>
      </c>
      <c r="AF71" s="21">
        <v>1.0</v>
      </c>
      <c r="AG71" s="21">
        <v>1.0</v>
      </c>
      <c r="AH71" s="21">
        <v>1.0</v>
      </c>
      <c r="AI71" s="21">
        <v>1.0</v>
      </c>
      <c r="AJ71" s="21">
        <v>1.0</v>
      </c>
      <c r="AK71" s="21">
        <v>1.0</v>
      </c>
      <c r="AL71" s="21">
        <v>1.0</v>
      </c>
      <c r="AM71" s="21">
        <v>1.0</v>
      </c>
      <c r="AN71" s="21">
        <v>1.0</v>
      </c>
      <c r="AO71" s="21">
        <v>1.0</v>
      </c>
      <c r="AP71" s="21">
        <v>1.0</v>
      </c>
      <c r="AQ71" s="21">
        <v>1.0</v>
      </c>
      <c r="AR71" s="21">
        <v>1.0</v>
      </c>
      <c r="AS71" s="21">
        <v>1.0</v>
      </c>
      <c r="AT71" s="21">
        <v>1.0</v>
      </c>
      <c r="AU71" s="21">
        <v>1.0</v>
      </c>
      <c r="AV71" s="21">
        <v>1.0</v>
      </c>
      <c r="AW71" s="21">
        <v>1.0</v>
      </c>
      <c r="AX71" s="21">
        <v>1.0</v>
      </c>
      <c r="AY71" s="21">
        <v>1.0</v>
      </c>
      <c r="AZ71" s="21">
        <v>1.0</v>
      </c>
      <c r="BA71" s="21">
        <v>1.0</v>
      </c>
      <c r="BB71" s="21">
        <v>1.0</v>
      </c>
      <c r="BC71" s="21">
        <v>1.0</v>
      </c>
      <c r="BD71" s="21">
        <v>1.0</v>
      </c>
      <c r="BE71" s="21">
        <v>1.0</v>
      </c>
      <c r="BF71" s="21">
        <v>1.0</v>
      </c>
      <c r="BG71" s="21">
        <v>1.0</v>
      </c>
      <c r="BH71" s="21">
        <v>1.0</v>
      </c>
      <c r="BI71" s="21">
        <v>1.0</v>
      </c>
    </row>
    <row r="72" ht="15.75" customHeight="1">
      <c r="A72" s="4" t="s">
        <v>40</v>
      </c>
      <c r="B72" s="26">
        <f>'前提'!$B$31</f>
        <v>0.5</v>
      </c>
      <c r="C72" s="26">
        <f>'前提'!$B$31</f>
        <v>0.5</v>
      </c>
      <c r="D72" s="26">
        <f>'前提'!$B$31</f>
        <v>0.5</v>
      </c>
      <c r="E72" s="26">
        <f>'前提'!$B$31</f>
        <v>0.5</v>
      </c>
      <c r="F72" s="26">
        <f>'前提'!$B$31</f>
        <v>0.5</v>
      </c>
      <c r="G72" s="26">
        <f>'前提'!$B$31</f>
        <v>0.5</v>
      </c>
      <c r="H72" s="26">
        <f>'前提'!$B$32</f>
        <v>1</v>
      </c>
      <c r="I72" s="26">
        <f>'前提'!$B$32</f>
        <v>1</v>
      </c>
      <c r="J72" s="26">
        <f>'前提'!$B$32</f>
        <v>1</v>
      </c>
      <c r="K72" s="26">
        <f>'前提'!$B$32</f>
        <v>1</v>
      </c>
      <c r="L72" s="26">
        <f>'前提'!$B$32</f>
        <v>1</v>
      </c>
      <c r="M72" s="26">
        <f>'前提'!$B$32</f>
        <v>1</v>
      </c>
      <c r="N72" s="26">
        <f>'前提'!$B$33</f>
        <v>1</v>
      </c>
      <c r="O72" s="26">
        <f>'前提'!$B$33</f>
        <v>1</v>
      </c>
      <c r="P72" s="26">
        <f>'前提'!$B$33</f>
        <v>1</v>
      </c>
      <c r="Q72" s="26">
        <f>'前提'!$B$33</f>
        <v>1</v>
      </c>
      <c r="R72" s="26">
        <f>'前提'!$B$33</f>
        <v>1</v>
      </c>
      <c r="S72" s="26">
        <f>'前提'!$B$33</f>
        <v>1</v>
      </c>
      <c r="T72" s="26">
        <f>'前提'!$B$34</f>
        <v>1</v>
      </c>
      <c r="U72" s="26">
        <f>'前提'!$B$34</f>
        <v>1</v>
      </c>
      <c r="V72" s="26">
        <f>'前提'!$B$34</f>
        <v>1</v>
      </c>
      <c r="W72" s="26">
        <f>'前提'!$B$34</f>
        <v>1</v>
      </c>
      <c r="X72" s="26">
        <f>'前提'!$B$34</f>
        <v>1</v>
      </c>
      <c r="Y72" s="26">
        <f>'前提'!$B$34</f>
        <v>1</v>
      </c>
      <c r="Z72" s="26">
        <f>'前提'!$B$34</f>
        <v>1</v>
      </c>
      <c r="AA72" s="26">
        <f>'前提'!$B$34</f>
        <v>1</v>
      </c>
      <c r="AB72" s="26">
        <f>'前提'!$B$34</f>
        <v>1</v>
      </c>
      <c r="AC72" s="26">
        <f>'前提'!$B$34</f>
        <v>1</v>
      </c>
      <c r="AD72" s="26">
        <f>'前提'!$B$34</f>
        <v>1</v>
      </c>
      <c r="AE72" s="26">
        <f>'前提'!$B$34</f>
        <v>1</v>
      </c>
      <c r="AF72" s="26">
        <f>'前提'!$B$34</f>
        <v>1</v>
      </c>
      <c r="AG72" s="26">
        <f>'前提'!$B$34</f>
        <v>1</v>
      </c>
      <c r="AH72" s="26">
        <f>'前提'!$B$34</f>
        <v>1</v>
      </c>
      <c r="AI72" s="26">
        <f>'前提'!$B$34</f>
        <v>1</v>
      </c>
      <c r="AJ72" s="26">
        <f>'前提'!$B$34</f>
        <v>1</v>
      </c>
      <c r="AK72" s="26">
        <f>'前提'!$B$34</f>
        <v>1</v>
      </c>
      <c r="AL72" s="26">
        <f>'前提'!$B$35</f>
        <v>1</v>
      </c>
      <c r="AM72" s="26">
        <f>'前提'!$B$35</f>
        <v>1</v>
      </c>
      <c r="AN72" s="26">
        <f>'前提'!$B$35</f>
        <v>1</v>
      </c>
      <c r="AO72" s="26">
        <f>'前提'!$B$35</f>
        <v>1</v>
      </c>
      <c r="AP72" s="26">
        <f>'前提'!$B$35</f>
        <v>1</v>
      </c>
      <c r="AQ72" s="26">
        <f>'前提'!$B$35</f>
        <v>1</v>
      </c>
      <c r="AR72" s="26">
        <f>'前提'!$B$35</f>
        <v>1</v>
      </c>
      <c r="AS72" s="26">
        <f>'前提'!$B$35</f>
        <v>1</v>
      </c>
      <c r="AT72" s="26">
        <f>'前提'!$B$35</f>
        <v>1</v>
      </c>
      <c r="AU72" s="26">
        <f>'前提'!$B$35</f>
        <v>1</v>
      </c>
      <c r="AV72" s="26">
        <f>'前提'!$B$35</f>
        <v>1</v>
      </c>
      <c r="AW72" s="26">
        <f>'前提'!$B$35</f>
        <v>1</v>
      </c>
      <c r="AX72" s="26">
        <f>'前提'!$B$35</f>
        <v>1</v>
      </c>
      <c r="AY72" s="26">
        <f>'前提'!$B$35</f>
        <v>1</v>
      </c>
      <c r="AZ72" s="26">
        <f>'前提'!$B$35</f>
        <v>1</v>
      </c>
      <c r="BA72" s="26">
        <f>'前提'!$B$35</f>
        <v>1</v>
      </c>
      <c r="BB72" s="26">
        <f>'前提'!$B$35</f>
        <v>1</v>
      </c>
      <c r="BC72" s="26">
        <f>'前提'!$B$35</f>
        <v>1</v>
      </c>
      <c r="BD72" s="26">
        <f>'前提'!$B$35</f>
        <v>1</v>
      </c>
      <c r="BE72" s="26">
        <f>'前提'!$B$35</f>
        <v>1</v>
      </c>
      <c r="BF72" s="26">
        <f>'前提'!$B$35</f>
        <v>1</v>
      </c>
      <c r="BG72" s="26">
        <f>'前提'!$B$35</f>
        <v>1</v>
      </c>
      <c r="BH72" s="26">
        <f>'前提'!$B$35</f>
        <v>1</v>
      </c>
      <c r="BI72" s="26">
        <f>'前提'!$B$35</f>
        <v>1</v>
      </c>
    </row>
    <row r="73" ht="15.75" customHeight="1">
      <c r="A73" s="4" t="s">
        <v>232</v>
      </c>
      <c r="B73" s="21">
        <v>0.0</v>
      </c>
      <c r="C73" s="21">
        <v>0.0</v>
      </c>
      <c r="D73" s="21">
        <v>0.0</v>
      </c>
      <c r="E73" s="21">
        <v>0.0</v>
      </c>
      <c r="F73" s="21">
        <v>0.0</v>
      </c>
      <c r="G73" s="21">
        <v>0.0</v>
      </c>
      <c r="H73" s="21">
        <v>0.0</v>
      </c>
      <c r="I73" s="21">
        <v>0.0</v>
      </c>
      <c r="J73" s="21">
        <v>0.0</v>
      </c>
      <c r="K73" s="21">
        <v>0.0</v>
      </c>
      <c r="L73" s="21">
        <v>0.0</v>
      </c>
      <c r="M73" s="21">
        <v>0.0</v>
      </c>
      <c r="N73" s="21">
        <v>0.0</v>
      </c>
      <c r="O73" s="21">
        <v>0.0</v>
      </c>
      <c r="P73" s="21">
        <v>0.0</v>
      </c>
      <c r="Q73" s="21">
        <v>0.0</v>
      </c>
      <c r="R73" s="21">
        <v>0.0</v>
      </c>
      <c r="S73" s="21">
        <v>0.0</v>
      </c>
      <c r="T73" s="21">
        <f>T32/'前提'!$B$21</f>
        <v>0.4285714286</v>
      </c>
      <c r="U73" s="21">
        <f>U32/'前提'!$B$21</f>
        <v>0.4285714286</v>
      </c>
      <c r="V73" s="21">
        <f>V32/'前提'!$B$21</f>
        <v>0.4285714286</v>
      </c>
      <c r="W73" s="21">
        <f>W32/'前提'!$B$21</f>
        <v>0.4285714286</v>
      </c>
      <c r="X73" s="21">
        <f>X32/'前提'!$B$21</f>
        <v>0.4285714286</v>
      </c>
      <c r="Y73" s="21">
        <f>Y32/'前提'!$B$21</f>
        <v>0.4285714286</v>
      </c>
      <c r="Z73" s="21">
        <f>Z32/'前提'!$B$21</f>
        <v>0.4285714286</v>
      </c>
      <c r="AA73" s="21">
        <f>AA32/'前提'!$B$21</f>
        <v>0.4285714286</v>
      </c>
      <c r="AB73" s="21">
        <f>AB32/'前提'!$B$21</f>
        <v>0.4285714286</v>
      </c>
      <c r="AC73" s="21">
        <f>AC32/'前提'!$B$21</f>
        <v>0.4285714286</v>
      </c>
      <c r="AD73" s="21">
        <f>AD32/'前提'!$B$21</f>
        <v>0.4285714286</v>
      </c>
      <c r="AE73" s="21">
        <f>AE32/'前提'!$B$21</f>
        <v>0.4285714286</v>
      </c>
      <c r="AF73" s="21">
        <f>AF32/'前提'!$B$21</f>
        <v>0.4285714286</v>
      </c>
      <c r="AG73" s="21">
        <f>AG32/'前提'!$B$21</f>
        <v>0.4285714286</v>
      </c>
      <c r="AH73" s="21">
        <f>AH32/'前提'!$B$21</f>
        <v>0.4285714286</v>
      </c>
      <c r="AI73" s="21">
        <f>AI32/'前提'!$B$21</f>
        <v>0.4285714286</v>
      </c>
      <c r="AJ73" s="21">
        <f>AJ32/'前提'!$B$21</f>
        <v>0.4285714286</v>
      </c>
      <c r="AK73" s="21">
        <f>AK32/'前提'!$B$21</f>
        <v>0.4285714286</v>
      </c>
      <c r="AL73" s="21">
        <f>AL32/'前提'!$B$21</f>
        <v>0.7142857143</v>
      </c>
      <c r="AM73" s="21">
        <f>AM32/'前提'!$B$21</f>
        <v>0.7142857143</v>
      </c>
      <c r="AN73" s="21">
        <f>AN32/'前提'!$B$21</f>
        <v>0.7142857143</v>
      </c>
      <c r="AO73" s="21">
        <f>AO32/'前提'!$B$21</f>
        <v>0.7142857143</v>
      </c>
      <c r="AP73" s="21">
        <f>AP32/'前提'!$B$21</f>
        <v>0.7142857143</v>
      </c>
      <c r="AQ73" s="21">
        <f>AQ32/'前提'!$B$21</f>
        <v>0.7142857143</v>
      </c>
      <c r="AR73" s="21">
        <f>AR32/'前提'!$B$21</f>
        <v>0.7142857143</v>
      </c>
      <c r="AS73" s="21">
        <f>AS32/'前提'!$B$21</f>
        <v>0.7142857143</v>
      </c>
      <c r="AT73" s="21">
        <f>AT32/'前提'!$B$21</f>
        <v>0.7142857143</v>
      </c>
      <c r="AU73" s="21">
        <f>AU32/'前提'!$B$21</f>
        <v>0.7142857143</v>
      </c>
      <c r="AV73" s="21">
        <f>AV32/'前提'!$B$21</f>
        <v>0.7142857143</v>
      </c>
      <c r="AW73" s="21">
        <f>AW32/'前提'!$B$21</f>
        <v>0.7142857143</v>
      </c>
      <c r="AX73" s="21">
        <f>AX32/'前提'!$B$21</f>
        <v>0.7142857143</v>
      </c>
      <c r="AY73" s="21">
        <f>AY32/'前提'!$B$21</f>
        <v>0.7142857143</v>
      </c>
      <c r="AZ73" s="21">
        <f>AZ32/'前提'!$B$21</f>
        <v>0.7142857143</v>
      </c>
      <c r="BA73" s="21">
        <f>BA32/'前提'!$B$21</f>
        <v>0.7142857143</v>
      </c>
      <c r="BB73" s="21">
        <f>BB32/'前提'!$B$21</f>
        <v>0.7142857143</v>
      </c>
      <c r="BC73" s="21">
        <f>BC32/'前提'!$B$21</f>
        <v>0.7142857143</v>
      </c>
      <c r="BD73" s="21">
        <f>BD32/'前提'!$B$21</f>
        <v>0.7142857143</v>
      </c>
      <c r="BE73" s="21">
        <f>BE32/'前提'!$B$21</f>
        <v>0.7142857143</v>
      </c>
      <c r="BF73" s="21">
        <f>BF32/'前提'!$B$21</f>
        <v>0.7142857143</v>
      </c>
      <c r="BG73" s="21">
        <f>BG32/'前提'!$B$21</f>
        <v>0.7142857143</v>
      </c>
      <c r="BH73" s="21">
        <f>BH32/'前提'!$B$21</f>
        <v>0.7142857143</v>
      </c>
      <c r="BI73" s="21">
        <f>BI32/'前提'!$B$21</f>
        <v>0.7142857143</v>
      </c>
    </row>
    <row r="74" ht="15.75" customHeight="1">
      <c r="A74" s="4" t="s">
        <v>41</v>
      </c>
      <c r="B74" s="26">
        <f>'前提'!$C$31</f>
        <v>0</v>
      </c>
      <c r="C74" s="26">
        <f>'前提'!$C$31</f>
        <v>0</v>
      </c>
      <c r="D74" s="26">
        <f>'前提'!$C$31</f>
        <v>0</v>
      </c>
      <c r="E74" s="26">
        <f>'前提'!$C$31</f>
        <v>0</v>
      </c>
      <c r="F74" s="26">
        <f>'前提'!$C$31</f>
        <v>0</v>
      </c>
      <c r="G74" s="26">
        <f>'前提'!$C$31</f>
        <v>0</v>
      </c>
      <c r="H74" s="26">
        <f>'前提'!$C$32</f>
        <v>1</v>
      </c>
      <c r="I74" s="26">
        <f>'前提'!$C$32</f>
        <v>1</v>
      </c>
      <c r="J74" s="26">
        <f>'前提'!$C$32</f>
        <v>1</v>
      </c>
      <c r="K74" s="26">
        <f>'前提'!$C$32</f>
        <v>1</v>
      </c>
      <c r="L74" s="26">
        <f>'前提'!$C$32</f>
        <v>1</v>
      </c>
      <c r="M74" s="26">
        <f>'前提'!$C$32</f>
        <v>1</v>
      </c>
      <c r="N74" s="26">
        <f>'前提'!$C$33</f>
        <v>1</v>
      </c>
      <c r="O74" s="26">
        <f>'前提'!$C$33</f>
        <v>1</v>
      </c>
      <c r="P74" s="26">
        <f>'前提'!$C$33</f>
        <v>1</v>
      </c>
      <c r="Q74" s="26">
        <f>'前提'!$C$33</f>
        <v>1</v>
      </c>
      <c r="R74" s="26">
        <f>'前提'!$C$33</f>
        <v>1</v>
      </c>
      <c r="S74" s="26">
        <f>'前提'!$C$33</f>
        <v>1</v>
      </c>
      <c r="T74" s="26">
        <f>'前提'!$C$34</f>
        <v>2</v>
      </c>
      <c r="U74" s="26">
        <f>'前提'!$C$34</f>
        <v>2</v>
      </c>
      <c r="V74" s="26">
        <f>'前提'!$C$34</f>
        <v>2</v>
      </c>
      <c r="W74" s="26">
        <f>'前提'!$C$34</f>
        <v>2</v>
      </c>
      <c r="X74" s="26">
        <f>'前提'!$C$34</f>
        <v>2</v>
      </c>
      <c r="Y74" s="26">
        <f>'前提'!$C$34</f>
        <v>2</v>
      </c>
      <c r="Z74" s="26">
        <f>'前提'!$C$34</f>
        <v>2</v>
      </c>
      <c r="AA74" s="26">
        <f>'前提'!$C$34</f>
        <v>2</v>
      </c>
      <c r="AB74" s="26">
        <f>'前提'!$C$34</f>
        <v>2</v>
      </c>
      <c r="AC74" s="26">
        <f>'前提'!$C$34</f>
        <v>2</v>
      </c>
      <c r="AD74" s="26">
        <f>'前提'!$C$34</f>
        <v>2</v>
      </c>
      <c r="AE74" s="26">
        <f>'前提'!$C$34</f>
        <v>2</v>
      </c>
      <c r="AF74" s="26">
        <f>'前提'!$C$34</f>
        <v>2</v>
      </c>
      <c r="AG74" s="26">
        <f>'前提'!$C$34</f>
        <v>2</v>
      </c>
      <c r="AH74" s="26">
        <f>'前提'!$C$34</f>
        <v>2</v>
      </c>
      <c r="AI74" s="26">
        <f>'前提'!$C$34</f>
        <v>2</v>
      </c>
      <c r="AJ74" s="26">
        <f>'前提'!$C$34</f>
        <v>2</v>
      </c>
      <c r="AK74" s="26">
        <f>'前提'!$C$34</f>
        <v>2</v>
      </c>
      <c r="AL74" s="26">
        <f>'前提'!$C$35</f>
        <v>4</v>
      </c>
      <c r="AM74" s="26">
        <f>'前提'!$C$35</f>
        <v>4</v>
      </c>
      <c r="AN74" s="26">
        <f>'前提'!$C$35</f>
        <v>4</v>
      </c>
      <c r="AO74" s="26">
        <f>'前提'!$C$35</f>
        <v>4</v>
      </c>
      <c r="AP74" s="26">
        <f>'前提'!$C$35</f>
        <v>4</v>
      </c>
      <c r="AQ74" s="26">
        <f>'前提'!$C$35</f>
        <v>4</v>
      </c>
      <c r="AR74" s="26">
        <f>'前提'!$C$35</f>
        <v>4</v>
      </c>
      <c r="AS74" s="26">
        <f>'前提'!$C$35</f>
        <v>4</v>
      </c>
      <c r="AT74" s="26">
        <f>'前提'!$C$35</f>
        <v>4</v>
      </c>
      <c r="AU74" s="26">
        <f>'前提'!$C$35</f>
        <v>4</v>
      </c>
      <c r="AV74" s="26">
        <f>'前提'!$C$35</f>
        <v>4</v>
      </c>
      <c r="AW74" s="26">
        <f>'前提'!$C$35</f>
        <v>4</v>
      </c>
      <c r="AX74" s="26">
        <f>'前提'!$C$35</f>
        <v>4</v>
      </c>
      <c r="AY74" s="26">
        <f>'前提'!$C$35</f>
        <v>4</v>
      </c>
      <c r="AZ74" s="26">
        <f>'前提'!$C$35</f>
        <v>4</v>
      </c>
      <c r="BA74" s="26">
        <f>'前提'!$C$35</f>
        <v>4</v>
      </c>
      <c r="BB74" s="26">
        <f>'前提'!$C$35</f>
        <v>4</v>
      </c>
      <c r="BC74" s="26">
        <f>'前提'!$C$35</f>
        <v>4</v>
      </c>
      <c r="BD74" s="26">
        <f>'前提'!$C$35</f>
        <v>4</v>
      </c>
      <c r="BE74" s="26">
        <f>'前提'!$C$35</f>
        <v>4</v>
      </c>
      <c r="BF74" s="26">
        <f>'前提'!$C$35</f>
        <v>4</v>
      </c>
      <c r="BG74" s="26">
        <f>'前提'!$C$35</f>
        <v>4</v>
      </c>
      <c r="BH74" s="26">
        <f>'前提'!$C$35</f>
        <v>4</v>
      </c>
      <c r="BI74" s="26">
        <f>'前提'!$C$35</f>
        <v>4</v>
      </c>
    </row>
    <row r="75" ht="15.75" customHeight="1">
      <c r="A75" s="4" t="s">
        <v>233</v>
      </c>
      <c r="B75" s="26">
        <f>'前提'!$D$31</f>
        <v>0</v>
      </c>
      <c r="C75" s="26">
        <f>'前提'!$D$31</f>
        <v>0</v>
      </c>
      <c r="D75" s="26">
        <f>'前提'!$D$31</f>
        <v>0</v>
      </c>
      <c r="E75" s="26">
        <f>'前提'!$D$31</f>
        <v>0</v>
      </c>
      <c r="F75" s="26">
        <f>'前提'!$D$31</f>
        <v>0</v>
      </c>
      <c r="G75" s="26">
        <f>'前提'!$D$31</f>
        <v>0</v>
      </c>
      <c r="H75" s="26">
        <f>'前提'!$D$32</f>
        <v>1</v>
      </c>
      <c r="I75" s="26">
        <f>'前提'!$D$32</f>
        <v>1</v>
      </c>
      <c r="J75" s="26">
        <f>'前提'!$D$32</f>
        <v>1</v>
      </c>
      <c r="K75" s="26">
        <f>'前提'!$D$32</f>
        <v>1</v>
      </c>
      <c r="L75" s="26">
        <f>'前提'!$D$32</f>
        <v>1</v>
      </c>
      <c r="M75" s="26">
        <f>'前提'!$D$32</f>
        <v>1</v>
      </c>
      <c r="N75" s="26">
        <f>'前提'!$D$33</f>
        <v>1</v>
      </c>
      <c r="O75" s="26">
        <f>'前提'!$D$33</f>
        <v>1</v>
      </c>
      <c r="P75" s="26">
        <f>'前提'!$D$33</f>
        <v>1</v>
      </c>
      <c r="Q75" s="26">
        <f>'前提'!$D$33</f>
        <v>1</v>
      </c>
      <c r="R75" s="26">
        <f>'前提'!$D$33</f>
        <v>1</v>
      </c>
      <c r="S75" s="26">
        <f>'前提'!$D$33</f>
        <v>1</v>
      </c>
      <c r="T75" s="26">
        <f>'前提'!$D$34</f>
        <v>2</v>
      </c>
      <c r="U75" s="26">
        <f>'前提'!$D$34</f>
        <v>2</v>
      </c>
      <c r="V75" s="26">
        <f>'前提'!$D$34</f>
        <v>2</v>
      </c>
      <c r="W75" s="26">
        <f>'前提'!$D$34</f>
        <v>2</v>
      </c>
      <c r="X75" s="26">
        <f>'前提'!$D$34</f>
        <v>2</v>
      </c>
      <c r="Y75" s="26">
        <f>'前提'!$D$34</f>
        <v>2</v>
      </c>
      <c r="Z75" s="26">
        <f>'前提'!$D$34</f>
        <v>2</v>
      </c>
      <c r="AA75" s="26">
        <f>'前提'!$D$34</f>
        <v>2</v>
      </c>
      <c r="AB75" s="26">
        <f>'前提'!$D$34</f>
        <v>2</v>
      </c>
      <c r="AC75" s="26">
        <f>'前提'!$D$34</f>
        <v>2</v>
      </c>
      <c r="AD75" s="26">
        <f>'前提'!$D$34</f>
        <v>2</v>
      </c>
      <c r="AE75" s="26">
        <f>'前提'!$D$34</f>
        <v>2</v>
      </c>
      <c r="AF75" s="26">
        <f>'前提'!$D$34</f>
        <v>2</v>
      </c>
      <c r="AG75" s="26">
        <f>'前提'!$D$34</f>
        <v>2</v>
      </c>
      <c r="AH75" s="26">
        <f>'前提'!$D$34</f>
        <v>2</v>
      </c>
      <c r="AI75" s="26">
        <f>'前提'!$D$34</f>
        <v>2</v>
      </c>
      <c r="AJ75" s="26">
        <f>'前提'!$D$34</f>
        <v>2</v>
      </c>
      <c r="AK75" s="26">
        <f>'前提'!$D$34</f>
        <v>2</v>
      </c>
      <c r="AL75" s="26">
        <f>'前提'!$D$35</f>
        <v>4</v>
      </c>
      <c r="AM75" s="26">
        <f>'前提'!$D$35</f>
        <v>4</v>
      </c>
      <c r="AN75" s="26">
        <f>'前提'!$D$35</f>
        <v>4</v>
      </c>
      <c r="AO75" s="26">
        <f>'前提'!$D$35</f>
        <v>4</v>
      </c>
      <c r="AP75" s="26">
        <f>'前提'!$D$35</f>
        <v>4</v>
      </c>
      <c r="AQ75" s="26">
        <f>'前提'!$D$35</f>
        <v>4</v>
      </c>
      <c r="AR75" s="26">
        <f>'前提'!$D$35</f>
        <v>4</v>
      </c>
      <c r="AS75" s="26">
        <f>'前提'!$D$35</f>
        <v>4</v>
      </c>
      <c r="AT75" s="26">
        <f>'前提'!$D$35</f>
        <v>4</v>
      </c>
      <c r="AU75" s="26">
        <f>'前提'!$D$35</f>
        <v>4</v>
      </c>
      <c r="AV75" s="26">
        <f>'前提'!$D$35</f>
        <v>4</v>
      </c>
      <c r="AW75" s="26">
        <f>'前提'!$D$35</f>
        <v>4</v>
      </c>
      <c r="AX75" s="26">
        <f>'前提'!$D$35</f>
        <v>4</v>
      </c>
      <c r="AY75" s="26">
        <f>'前提'!$D$35</f>
        <v>4</v>
      </c>
      <c r="AZ75" s="26">
        <f>'前提'!$D$35</f>
        <v>4</v>
      </c>
      <c r="BA75" s="26">
        <f>'前提'!$D$35</f>
        <v>4</v>
      </c>
      <c r="BB75" s="26">
        <f>'前提'!$D$35</f>
        <v>4</v>
      </c>
      <c r="BC75" s="26">
        <f>'前提'!$D$35</f>
        <v>4</v>
      </c>
      <c r="BD75" s="26">
        <f>'前提'!$D$35</f>
        <v>4</v>
      </c>
      <c r="BE75" s="26">
        <f>'前提'!$D$35</f>
        <v>4</v>
      </c>
      <c r="BF75" s="26">
        <f>'前提'!$D$35</f>
        <v>4</v>
      </c>
      <c r="BG75" s="26">
        <f>'前提'!$D$35</f>
        <v>4</v>
      </c>
      <c r="BH75" s="26">
        <f>'前提'!$D$35</f>
        <v>4</v>
      </c>
      <c r="BI75" s="26">
        <f>'前提'!$D$35</f>
        <v>4</v>
      </c>
    </row>
    <row r="76" ht="15.75" customHeight="1">
      <c r="A76" s="4" t="s">
        <v>234</v>
      </c>
      <c r="B76" s="21">
        <f>IF(B35&gt;0,B35/'前提'!$B$23,0)</f>
        <v>1</v>
      </c>
      <c r="C76" s="21">
        <f>IF(C35&gt;0,C35/'前提'!$B$23,0)</f>
        <v>1</v>
      </c>
      <c r="D76" s="21">
        <f>IF(D35&gt;0,D35/'前提'!$B$23,0)</f>
        <v>1</v>
      </c>
      <c r="E76" s="21">
        <f>IF(E35&gt;0,E35/'前提'!$B$23,0)</f>
        <v>1</v>
      </c>
      <c r="F76" s="21">
        <f>IF(F35&gt;0,F35/'前提'!$B$23,0)</f>
        <v>1</v>
      </c>
      <c r="G76" s="21">
        <f>IF(G35&gt;0,G35/'前提'!$B$23,0)</f>
        <v>1</v>
      </c>
      <c r="H76" s="21">
        <f>IF(H35&gt;0,H35/'前提'!$B$23,0)</f>
        <v>1</v>
      </c>
      <c r="I76" s="21">
        <f>IF(I35&gt;0,I35/'前提'!$B$23,0)</f>
        <v>1</v>
      </c>
      <c r="J76" s="21">
        <f>IF(J35&gt;0,J35/'前提'!$B$23,0)</f>
        <v>1</v>
      </c>
      <c r="K76" s="21">
        <f>IF(K35&gt;0,K35/'前提'!$B$23,0)</f>
        <v>1</v>
      </c>
      <c r="L76" s="21">
        <f>IF(L35&gt;0,L35/'前提'!$B$23,0)</f>
        <v>1</v>
      </c>
      <c r="M76" s="21">
        <f>IF(M35&gt;0,M35/'前提'!$B$23,0)</f>
        <v>1</v>
      </c>
      <c r="N76" s="21">
        <f>IF(N35&gt;0,N35/'前提'!$B$23,0)</f>
        <v>2</v>
      </c>
      <c r="O76" s="21">
        <f>IF(O35&gt;0,O35/'前提'!$B$23,0)</f>
        <v>2</v>
      </c>
      <c r="P76" s="21">
        <f>IF(P35&gt;0,P35/'前提'!$B$23,0)</f>
        <v>2</v>
      </c>
      <c r="Q76" s="21">
        <f>IF(Q35&gt;0,Q35/'前提'!$B$23,0)</f>
        <v>2</v>
      </c>
      <c r="R76" s="21">
        <f>IF(R35&gt;0,R35/'前提'!$B$23,0)</f>
        <v>2</v>
      </c>
      <c r="S76" s="21">
        <f>IF(S35&gt;0,S35/'前提'!$B$23,0)</f>
        <v>2</v>
      </c>
      <c r="T76" s="21">
        <f>IF(T35&gt;0,T35/'前提'!$B$23,0)</f>
        <v>6</v>
      </c>
      <c r="U76" s="21">
        <f>IF(U35&gt;0,U35/'前提'!$B$23,0)</f>
        <v>6</v>
      </c>
      <c r="V76" s="21">
        <f>IF(V35&gt;0,V35/'前提'!$B$23,0)</f>
        <v>6</v>
      </c>
      <c r="W76" s="21">
        <f>IF(W35&gt;0,W35/'前提'!$B$23,0)</f>
        <v>6</v>
      </c>
      <c r="X76" s="21">
        <f>IF(X35&gt;0,X35/'前提'!$B$23,0)</f>
        <v>6</v>
      </c>
      <c r="Y76" s="21">
        <f>IF(Y35&gt;0,Y35/'前提'!$B$23,0)</f>
        <v>6</v>
      </c>
      <c r="Z76" s="21">
        <f>IF(Z35&gt;0,Z35/'前提'!$B$23,0)</f>
        <v>6</v>
      </c>
      <c r="AA76" s="21">
        <f>IF(AA35&gt;0,AA35/'前提'!$B$23,0)</f>
        <v>6</v>
      </c>
      <c r="AB76" s="21">
        <f>IF(AB35&gt;0,AB35/'前提'!$B$23,0)</f>
        <v>6</v>
      </c>
      <c r="AC76" s="21">
        <f>IF(AC35&gt;0,AC35/'前提'!$B$23,0)</f>
        <v>6</v>
      </c>
      <c r="AD76" s="21">
        <f>IF(AD35&gt;0,AD35/'前提'!$B$23,0)</f>
        <v>6</v>
      </c>
      <c r="AE76" s="21">
        <f>IF(AE35&gt;0,AE35/'前提'!$B$23,0)</f>
        <v>6</v>
      </c>
      <c r="AF76" s="21">
        <f>IF(AF35&gt;0,AF35/'前提'!$B$23,0)</f>
        <v>6</v>
      </c>
      <c r="AG76" s="21">
        <f>IF(AG35&gt;0,AG35/'前提'!$B$23,0)</f>
        <v>6</v>
      </c>
      <c r="AH76" s="21">
        <f>IF(AH35&gt;0,AH35/'前提'!$B$23,0)</f>
        <v>6</v>
      </c>
      <c r="AI76" s="21">
        <f>IF(AI35&gt;0,AI35/'前提'!$B$23,0)</f>
        <v>6</v>
      </c>
      <c r="AJ76" s="21">
        <f>IF(AJ35&gt;0,AJ35/'前提'!$B$23,0)</f>
        <v>6</v>
      </c>
      <c r="AK76" s="21">
        <f>IF(AK35&gt;0,AK35/'前提'!$B$23,0)</f>
        <v>6</v>
      </c>
      <c r="AL76" s="21">
        <f>IF(AL35&gt;0,AL35/'前提'!$B$23,0)</f>
        <v>13</v>
      </c>
      <c r="AM76" s="21">
        <f>IF(AM35&gt;0,AM35/'前提'!$B$23,0)</f>
        <v>13</v>
      </c>
      <c r="AN76" s="21">
        <f>IF(AN35&gt;0,AN35/'前提'!$B$23,0)</f>
        <v>13</v>
      </c>
      <c r="AO76" s="21">
        <f>IF(AO35&gt;0,AO35/'前提'!$B$23,0)</f>
        <v>13</v>
      </c>
      <c r="AP76" s="21">
        <f>IF(AP35&gt;0,AP35/'前提'!$B$23,0)</f>
        <v>13</v>
      </c>
      <c r="AQ76" s="21">
        <f>IF(AQ35&gt;0,AQ35/'前提'!$B$23,0)</f>
        <v>13</v>
      </c>
      <c r="AR76" s="21">
        <f>IF(AR35&gt;0,AR35/'前提'!$B$23,0)</f>
        <v>13</v>
      </c>
      <c r="AS76" s="21">
        <f>IF(AS35&gt;0,AS35/'前提'!$B$23,0)</f>
        <v>13</v>
      </c>
      <c r="AT76" s="21">
        <f>IF(AT35&gt;0,AT35/'前提'!$B$23,0)</f>
        <v>13</v>
      </c>
      <c r="AU76" s="21">
        <f>IF(AU35&gt;0,AU35/'前提'!$B$23,0)</f>
        <v>13</v>
      </c>
      <c r="AV76" s="21">
        <f>IF(AV35&gt;0,AV35/'前提'!$B$23,0)</f>
        <v>13</v>
      </c>
      <c r="AW76" s="21">
        <f>IF(AW35&gt;0,AW35/'前提'!$B$23,0)</f>
        <v>13</v>
      </c>
      <c r="AX76" s="21">
        <f>IF(AX35&gt;0,AX35/'前提'!$B$23,0)</f>
        <v>13</v>
      </c>
      <c r="AY76" s="21">
        <f>IF(AY35&gt;0,AY35/'前提'!$B$23,0)</f>
        <v>13</v>
      </c>
      <c r="AZ76" s="21">
        <f>IF(AZ35&gt;0,AZ35/'前提'!$B$23,0)</f>
        <v>13</v>
      </c>
      <c r="BA76" s="21">
        <f>IF(BA35&gt;0,BA35/'前提'!$B$23,0)</f>
        <v>13</v>
      </c>
      <c r="BB76" s="21">
        <f>IF(BB35&gt;0,BB35/'前提'!$B$23,0)</f>
        <v>13</v>
      </c>
      <c r="BC76" s="21">
        <f>IF(BC35&gt;0,BC35/'前提'!$B$23,0)</f>
        <v>13</v>
      </c>
      <c r="BD76" s="21">
        <f>IF(BD35&gt;0,BD35/'前提'!$B$23,0)</f>
        <v>13</v>
      </c>
      <c r="BE76" s="21">
        <f>IF(BE35&gt;0,BE35/'前提'!$B$23,0)</f>
        <v>13</v>
      </c>
      <c r="BF76" s="21">
        <f>IF(BF35&gt;0,BF35/'前提'!$B$23,0)</f>
        <v>13</v>
      </c>
      <c r="BG76" s="21">
        <f>IF(BG35&gt;0,BG35/'前提'!$B$23,0)</f>
        <v>13</v>
      </c>
      <c r="BH76" s="21">
        <f>IF(BH35&gt;0,BH35/'前提'!$B$23,0)</f>
        <v>13</v>
      </c>
      <c r="BI76" s="21">
        <f>IF(BI35&gt;0,BI35/'前提'!$B$23,0)</f>
        <v>13</v>
      </c>
    </row>
    <row r="77" ht="15.75" customHeight="1">
      <c r="A77" s="4" t="s">
        <v>235</v>
      </c>
      <c r="B77" s="21">
        <v>0.0</v>
      </c>
      <c r="C77" s="21">
        <v>0.0</v>
      </c>
      <c r="D77" s="21">
        <v>0.0</v>
      </c>
      <c r="E77" s="21">
        <v>0.0</v>
      </c>
      <c r="F77" s="21">
        <v>0.0</v>
      </c>
      <c r="G77" s="21">
        <v>0.0</v>
      </c>
      <c r="H77" s="21">
        <v>0.0</v>
      </c>
      <c r="I77" s="21">
        <v>0.0</v>
      </c>
      <c r="J77" s="21">
        <v>0.0</v>
      </c>
      <c r="K77" s="21">
        <v>0.0</v>
      </c>
      <c r="L77" s="21">
        <v>0.0</v>
      </c>
      <c r="M77" s="21">
        <v>0.0</v>
      </c>
      <c r="N77" s="27">
        <v>2.0</v>
      </c>
      <c r="O77" s="27">
        <v>2.0</v>
      </c>
      <c r="P77" s="27">
        <v>2.0</v>
      </c>
      <c r="Q77" s="27">
        <v>3.0</v>
      </c>
      <c r="R77" s="27">
        <v>3.0</v>
      </c>
      <c r="S77" s="27">
        <v>3.0</v>
      </c>
      <c r="T77" s="27">
        <v>4.0</v>
      </c>
      <c r="U77" s="27">
        <v>4.0</v>
      </c>
      <c r="V77" s="27">
        <v>4.0</v>
      </c>
      <c r="W77" s="27">
        <v>5.0</v>
      </c>
      <c r="X77" s="27">
        <v>5.0</v>
      </c>
      <c r="Y77" s="27">
        <v>5.0</v>
      </c>
      <c r="Z77" s="27">
        <v>6.0</v>
      </c>
      <c r="AA77" s="27">
        <v>7.0</v>
      </c>
      <c r="AB77" s="27">
        <v>8.0</v>
      </c>
      <c r="AC77" s="27">
        <v>9.0</v>
      </c>
      <c r="AD77" s="27">
        <v>10.0</v>
      </c>
      <c r="AE77" s="27">
        <v>11.0</v>
      </c>
      <c r="AF77" s="27">
        <v>12.0</v>
      </c>
      <c r="AG77" s="27">
        <v>13.0</v>
      </c>
      <c r="AH77" s="27">
        <v>14.0</v>
      </c>
      <c r="AI77" s="27">
        <v>15.0</v>
      </c>
      <c r="AJ77" s="27">
        <v>16.0</v>
      </c>
      <c r="AK77" s="27">
        <v>17.0</v>
      </c>
      <c r="AL77" s="21">
        <f>AL37/'前提'!$B$27</f>
        <v>11</v>
      </c>
      <c r="AM77" s="21">
        <f>AM37/'前提'!$B$27</f>
        <v>11</v>
      </c>
      <c r="AN77" s="21">
        <f>AN37/'前提'!$B$27</f>
        <v>12</v>
      </c>
      <c r="AO77" s="21">
        <f>AO37/'前提'!$B$27</f>
        <v>13</v>
      </c>
      <c r="AP77" s="21">
        <f>AP37/'前提'!$B$27</f>
        <v>13</v>
      </c>
      <c r="AQ77" s="21">
        <f>AQ37/'前提'!$B$27</f>
        <v>14</v>
      </c>
      <c r="AR77" s="21">
        <f>AR37/'前提'!$B$27</f>
        <v>15</v>
      </c>
      <c r="AS77" s="21">
        <f>AS37/'前提'!$B$27</f>
        <v>15</v>
      </c>
      <c r="AT77" s="21">
        <f>AT37/'前提'!$B$27</f>
        <v>16</v>
      </c>
      <c r="AU77" s="21">
        <f>AU37/'前提'!$B$27</f>
        <v>16</v>
      </c>
      <c r="AV77" s="21">
        <f>AV37/'前提'!$B$27</f>
        <v>17</v>
      </c>
      <c r="AW77" s="21">
        <f>AW37/'前提'!$B$27</f>
        <v>18</v>
      </c>
      <c r="AX77" s="21">
        <f>AX37/'前提'!$B$27</f>
        <v>11</v>
      </c>
      <c r="AY77" s="21">
        <f>AY37/'前提'!$B$27</f>
        <v>11</v>
      </c>
      <c r="AZ77" s="21">
        <f>AZ37/'前提'!$B$27</f>
        <v>12</v>
      </c>
      <c r="BA77" s="21">
        <f>BA37/'前提'!$B$27</f>
        <v>12</v>
      </c>
      <c r="BB77" s="21">
        <f>BB37/'前提'!$B$27</f>
        <v>13</v>
      </c>
      <c r="BC77" s="21">
        <f>BC37/'前提'!$B$27</f>
        <v>13</v>
      </c>
      <c r="BD77" s="21">
        <f>BD37/'前提'!$B$27</f>
        <v>13</v>
      </c>
      <c r="BE77" s="21">
        <f>BE37/'前提'!$B$27</f>
        <v>14</v>
      </c>
      <c r="BF77" s="21">
        <f>BF37/'前提'!$B$27</f>
        <v>14</v>
      </c>
      <c r="BG77" s="21">
        <f>BG37/'前提'!$B$27</f>
        <v>14</v>
      </c>
      <c r="BH77" s="21">
        <f>BH37/'前提'!$B$27</f>
        <v>14</v>
      </c>
      <c r="BI77" s="21">
        <f>BI37/'前提'!$B$27</f>
        <v>15</v>
      </c>
    </row>
    <row r="78" ht="15.75" customHeight="1">
      <c r="A78" s="4" t="s">
        <v>236</v>
      </c>
      <c r="B78" s="21">
        <v>0.0</v>
      </c>
      <c r="C78" s="21">
        <v>0.0</v>
      </c>
      <c r="D78" s="21">
        <v>0.0</v>
      </c>
      <c r="E78" s="21">
        <v>0.0</v>
      </c>
      <c r="F78" s="21">
        <v>0.0</v>
      </c>
      <c r="G78" s="21">
        <v>0.0</v>
      </c>
      <c r="H78" s="21">
        <v>0.0</v>
      </c>
      <c r="I78" s="21">
        <v>0.0</v>
      </c>
      <c r="J78" s="21">
        <v>0.0</v>
      </c>
      <c r="K78" s="21">
        <v>0.0</v>
      </c>
      <c r="L78" s="21">
        <v>0.0</v>
      </c>
      <c r="M78" s="21">
        <v>0.0</v>
      </c>
      <c r="N78" s="21">
        <v>0.0</v>
      </c>
      <c r="O78" s="21">
        <v>0.0</v>
      </c>
      <c r="P78" s="21">
        <v>0.0</v>
      </c>
      <c r="Q78" s="21">
        <v>0.0</v>
      </c>
      <c r="R78" s="21">
        <v>0.0</v>
      </c>
      <c r="S78" s="21">
        <v>0.0</v>
      </c>
      <c r="T78" s="21">
        <v>0.0</v>
      </c>
      <c r="U78" s="21">
        <v>0.0</v>
      </c>
      <c r="V78" s="21">
        <v>0.0</v>
      </c>
      <c r="W78" s="21">
        <v>0.0</v>
      </c>
      <c r="X78" s="21">
        <v>0.0</v>
      </c>
      <c r="Y78" s="21">
        <v>0.0</v>
      </c>
      <c r="Z78" s="27">
        <v>3.0</v>
      </c>
      <c r="AA78" s="27">
        <v>4.0</v>
      </c>
      <c r="AB78" s="27">
        <v>5.0</v>
      </c>
      <c r="AC78" s="27">
        <v>6.0</v>
      </c>
      <c r="AD78" s="27">
        <v>7.0</v>
      </c>
      <c r="AE78" s="27">
        <v>8.0</v>
      </c>
      <c r="AF78" s="27">
        <v>9.0</v>
      </c>
      <c r="AG78" s="27">
        <v>10.0</v>
      </c>
      <c r="AH78" s="27">
        <v>11.0</v>
      </c>
      <c r="AI78" s="27">
        <v>12.0</v>
      </c>
      <c r="AJ78" s="27">
        <v>13.0</v>
      </c>
      <c r="AK78" s="27">
        <v>14.0</v>
      </c>
      <c r="AL78" s="21">
        <f>IF(AL38&gt;0,AL38/'前提'!$B$28,0)</f>
        <v>14</v>
      </c>
      <c r="AM78" s="21">
        <f>IF(AM38&gt;0,AM38/'前提'!$B$28,0)</f>
        <v>14</v>
      </c>
      <c r="AN78" s="21">
        <f>IF(AN38&gt;0,AN38/'前提'!$B$28,0)</f>
        <v>15</v>
      </c>
      <c r="AO78" s="21">
        <f>IF(AO38&gt;0,AO38/'前提'!$B$28,0)</f>
        <v>16</v>
      </c>
      <c r="AP78" s="21">
        <f>IF(AP38&gt;0,AP38/'前提'!$B$28,0)</f>
        <v>16</v>
      </c>
      <c r="AQ78" s="21">
        <f>IF(AQ38&gt;0,AQ38/'前提'!$B$28,0)</f>
        <v>17</v>
      </c>
      <c r="AR78" s="21">
        <f>IF(AR38&gt;0,AR38/'前提'!$B$28,0)</f>
        <v>18</v>
      </c>
      <c r="AS78" s="21">
        <f>IF(AS38&gt;0,AS38/'前提'!$B$28,0)</f>
        <v>19</v>
      </c>
      <c r="AT78" s="21">
        <f>IF(AT38&gt;0,AT38/'前提'!$B$28,0)</f>
        <v>20</v>
      </c>
      <c r="AU78" s="21">
        <f>IF(AU38&gt;0,AU38/'前提'!$B$28,0)</f>
        <v>21</v>
      </c>
      <c r="AV78" s="21">
        <f>IF(AV38&gt;0,AV38/'前提'!$B$28,0)</f>
        <v>22</v>
      </c>
      <c r="AW78" s="21">
        <f>IF(AW38&gt;0,AW38/'前提'!$B$28,0)</f>
        <v>23</v>
      </c>
      <c r="AX78" s="21">
        <f>IF(AX38&gt;0,AX38/'前提'!$B$28,0)</f>
        <v>13</v>
      </c>
      <c r="AY78" s="21">
        <f>IF(AY38&gt;0,AY38/'前提'!$B$28,0)</f>
        <v>14</v>
      </c>
      <c r="AZ78" s="21">
        <f>IF(AZ38&gt;0,AZ38/'前提'!$B$28,0)</f>
        <v>14</v>
      </c>
      <c r="BA78" s="21">
        <f>IF(BA38&gt;0,BA38/'前提'!$B$28,0)</f>
        <v>15</v>
      </c>
      <c r="BB78" s="21">
        <f>IF(BB38&gt;0,BB38/'前提'!$B$28,0)</f>
        <v>15</v>
      </c>
      <c r="BC78" s="21">
        <f>IF(BC38&gt;0,BC38/'前提'!$B$28,0)</f>
        <v>16</v>
      </c>
      <c r="BD78" s="21">
        <f>IF(BD38&gt;0,BD38/'前提'!$B$28,0)</f>
        <v>16</v>
      </c>
      <c r="BE78" s="21">
        <f>IF(BE38&gt;0,BE38/'前提'!$B$28,0)</f>
        <v>17</v>
      </c>
      <c r="BF78" s="21">
        <f>IF(BF38&gt;0,BF38/'前提'!$B$28,0)</f>
        <v>17</v>
      </c>
      <c r="BG78" s="21">
        <f>IF(BG38&gt;0,BG38/'前提'!$B$28,0)</f>
        <v>18</v>
      </c>
      <c r="BH78" s="21">
        <f>IF(BH38&gt;0,BH38/'前提'!$B$28,0)</f>
        <v>18</v>
      </c>
      <c r="BI78" s="21">
        <f>IF(BI38&gt;0,BI38/'前提'!$B$28,0)</f>
        <v>19</v>
      </c>
    </row>
    <row r="79" ht="15.75" customHeight="1"/>
    <row r="80" ht="15.75" customHeight="1">
      <c r="A80" s="4" t="s">
        <v>237</v>
      </c>
      <c r="B80" s="28">
        <f t="shared" ref="B80:BI80" si="21">B71+B72+B73+B74+B75+B76+B77+B78</f>
        <v>2.5</v>
      </c>
      <c r="C80" s="28">
        <f t="shared" si="21"/>
        <v>2.5</v>
      </c>
      <c r="D80" s="28">
        <f t="shared" si="21"/>
        <v>2.5</v>
      </c>
      <c r="E80" s="28">
        <f t="shared" si="21"/>
        <v>2.5</v>
      </c>
      <c r="F80" s="28">
        <f t="shared" si="21"/>
        <v>2.5</v>
      </c>
      <c r="G80" s="28">
        <f t="shared" si="21"/>
        <v>2.5</v>
      </c>
      <c r="H80" s="28">
        <f t="shared" si="21"/>
        <v>5</v>
      </c>
      <c r="I80" s="28">
        <f t="shared" si="21"/>
        <v>5</v>
      </c>
      <c r="J80" s="28">
        <f t="shared" si="21"/>
        <v>5</v>
      </c>
      <c r="K80" s="28">
        <f t="shared" si="21"/>
        <v>5</v>
      </c>
      <c r="L80" s="28">
        <f t="shared" si="21"/>
        <v>5</v>
      </c>
      <c r="M80" s="28">
        <f t="shared" si="21"/>
        <v>5</v>
      </c>
      <c r="N80" s="28">
        <f t="shared" si="21"/>
        <v>8</v>
      </c>
      <c r="O80" s="28">
        <f t="shared" si="21"/>
        <v>8</v>
      </c>
      <c r="P80" s="28">
        <f t="shared" si="21"/>
        <v>8</v>
      </c>
      <c r="Q80" s="28">
        <f t="shared" si="21"/>
        <v>9</v>
      </c>
      <c r="R80" s="28">
        <f t="shared" si="21"/>
        <v>9</v>
      </c>
      <c r="S80" s="28">
        <f t="shared" si="21"/>
        <v>9</v>
      </c>
      <c r="T80" s="28">
        <f t="shared" si="21"/>
        <v>16.42857143</v>
      </c>
      <c r="U80" s="28">
        <f t="shared" si="21"/>
        <v>16.42857143</v>
      </c>
      <c r="V80" s="28">
        <f t="shared" si="21"/>
        <v>16.42857143</v>
      </c>
      <c r="W80" s="28">
        <f t="shared" si="21"/>
        <v>17.42857143</v>
      </c>
      <c r="X80" s="28">
        <f t="shared" si="21"/>
        <v>17.42857143</v>
      </c>
      <c r="Y80" s="28">
        <f t="shared" si="21"/>
        <v>17.42857143</v>
      </c>
      <c r="Z80" s="28">
        <f t="shared" si="21"/>
        <v>21.42857143</v>
      </c>
      <c r="AA80" s="28">
        <f t="shared" si="21"/>
        <v>23.42857143</v>
      </c>
      <c r="AB80" s="28">
        <f t="shared" si="21"/>
        <v>25.42857143</v>
      </c>
      <c r="AC80" s="28">
        <f t="shared" si="21"/>
        <v>27.42857143</v>
      </c>
      <c r="AD80" s="28">
        <f t="shared" si="21"/>
        <v>29.42857143</v>
      </c>
      <c r="AE80" s="28">
        <f t="shared" si="21"/>
        <v>31.42857143</v>
      </c>
      <c r="AF80" s="28">
        <f t="shared" si="21"/>
        <v>33.42857143</v>
      </c>
      <c r="AG80" s="28">
        <f t="shared" si="21"/>
        <v>35.42857143</v>
      </c>
      <c r="AH80" s="28">
        <f t="shared" si="21"/>
        <v>37.42857143</v>
      </c>
      <c r="AI80" s="28">
        <f t="shared" si="21"/>
        <v>39.42857143</v>
      </c>
      <c r="AJ80" s="28">
        <f t="shared" si="21"/>
        <v>41.42857143</v>
      </c>
      <c r="AK80" s="28">
        <f t="shared" si="21"/>
        <v>43.42857143</v>
      </c>
      <c r="AL80" s="28">
        <f t="shared" si="21"/>
        <v>48.71428571</v>
      </c>
      <c r="AM80" s="28">
        <f t="shared" si="21"/>
        <v>48.71428571</v>
      </c>
      <c r="AN80" s="28">
        <f t="shared" si="21"/>
        <v>50.71428571</v>
      </c>
      <c r="AO80" s="28">
        <f t="shared" si="21"/>
        <v>52.71428571</v>
      </c>
      <c r="AP80" s="28">
        <f t="shared" si="21"/>
        <v>52.71428571</v>
      </c>
      <c r="AQ80" s="28">
        <f t="shared" si="21"/>
        <v>54.71428571</v>
      </c>
      <c r="AR80" s="28">
        <f t="shared" si="21"/>
        <v>56.71428571</v>
      </c>
      <c r="AS80" s="28">
        <f t="shared" si="21"/>
        <v>57.71428571</v>
      </c>
      <c r="AT80" s="28">
        <f t="shared" si="21"/>
        <v>59.71428571</v>
      </c>
      <c r="AU80" s="28">
        <f t="shared" si="21"/>
        <v>60.71428571</v>
      </c>
      <c r="AV80" s="28">
        <f t="shared" si="21"/>
        <v>62.71428571</v>
      </c>
      <c r="AW80" s="28">
        <f t="shared" si="21"/>
        <v>64.71428571</v>
      </c>
      <c r="AX80" s="28">
        <f t="shared" si="21"/>
        <v>47.71428571</v>
      </c>
      <c r="AY80" s="28">
        <f t="shared" si="21"/>
        <v>48.71428571</v>
      </c>
      <c r="AZ80" s="28">
        <f t="shared" si="21"/>
        <v>49.71428571</v>
      </c>
      <c r="BA80" s="28">
        <f t="shared" si="21"/>
        <v>50.71428571</v>
      </c>
      <c r="BB80" s="28">
        <f t="shared" si="21"/>
        <v>51.71428571</v>
      </c>
      <c r="BC80" s="28">
        <f t="shared" si="21"/>
        <v>52.71428571</v>
      </c>
      <c r="BD80" s="28">
        <f t="shared" si="21"/>
        <v>52.71428571</v>
      </c>
      <c r="BE80" s="28">
        <f t="shared" si="21"/>
        <v>54.71428571</v>
      </c>
      <c r="BF80" s="28">
        <f t="shared" si="21"/>
        <v>54.71428571</v>
      </c>
      <c r="BG80" s="28">
        <f t="shared" si="21"/>
        <v>55.71428571</v>
      </c>
      <c r="BH80" s="28">
        <f t="shared" si="21"/>
        <v>55.71428571</v>
      </c>
      <c r="BI80" s="28">
        <f t="shared" si="21"/>
        <v>57.71428571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8.0"/>
    <col customWidth="1" min="7" max="26" width="8.71"/>
  </cols>
  <sheetData>
    <row r="1">
      <c r="A1" s="1" t="s">
        <v>238</v>
      </c>
    </row>
    <row r="3">
      <c r="A3" s="12"/>
      <c r="B3" s="18" t="s">
        <v>239</v>
      </c>
      <c r="C3" s="18" t="s">
        <v>240</v>
      </c>
      <c r="D3" s="18" t="s">
        <v>241</v>
      </c>
      <c r="E3" s="18" t="s">
        <v>242</v>
      </c>
      <c r="F3" s="18" t="s">
        <v>243</v>
      </c>
    </row>
    <row r="4">
      <c r="A4" s="2" t="s">
        <v>183</v>
      </c>
      <c r="B4" s="3"/>
      <c r="C4" s="3"/>
      <c r="D4" s="3"/>
      <c r="E4" s="3"/>
      <c r="F4" s="3"/>
    </row>
    <row r="5">
      <c r="A5" s="4" t="s">
        <v>187</v>
      </c>
      <c r="B5" s="19">
        <f>'月次事業計画'!M15</f>
        <v>31</v>
      </c>
      <c r="C5" s="19">
        <f>'月次事業計画'!Y15</f>
        <v>147</v>
      </c>
      <c r="D5" s="19">
        <f>'月次事業計画'!AK15</f>
        <v>260</v>
      </c>
      <c r="E5" s="19">
        <f>'月次事業計画'!AW15</f>
        <v>441</v>
      </c>
      <c r="F5" s="19">
        <f>'月次事業計画'!BI15</f>
        <v>567</v>
      </c>
    </row>
    <row r="6">
      <c r="A6" s="4" t="s">
        <v>188</v>
      </c>
      <c r="B6" s="19">
        <f>'月次事業計画'!M16</f>
        <v>18</v>
      </c>
      <c r="C6" s="19">
        <f>'月次事業計画'!Y16</f>
        <v>73</v>
      </c>
      <c r="D6" s="19">
        <f>'月次事業計画'!AK16</f>
        <v>87</v>
      </c>
      <c r="E6" s="19">
        <f>'月次事業計画'!AW16</f>
        <v>138</v>
      </c>
      <c r="F6" s="19">
        <f>'月次事業計画'!BI16</f>
        <v>140</v>
      </c>
    </row>
    <row r="7">
      <c r="A7" s="4" t="s">
        <v>189</v>
      </c>
      <c r="B7" s="19">
        <f>'月次事業計画'!M17</f>
        <v>13</v>
      </c>
      <c r="C7" s="19">
        <f>'月次事業計画'!Y17</f>
        <v>67</v>
      </c>
      <c r="D7" s="19">
        <f>'月次事業計画'!AK17</f>
        <v>127</v>
      </c>
      <c r="E7" s="19">
        <f>'月次事業計画'!AW17</f>
        <v>198</v>
      </c>
      <c r="F7" s="19">
        <f>'月次事業計画'!BI17</f>
        <v>245</v>
      </c>
    </row>
    <row r="8">
      <c r="A8" s="4" t="s">
        <v>190</v>
      </c>
      <c r="B8" s="19">
        <f>'月次事業計画'!M18</f>
        <v>0</v>
      </c>
      <c r="C8" s="19">
        <f>'月次事業計画'!Y18</f>
        <v>14</v>
      </c>
      <c r="D8" s="19">
        <f>'月次事業計画'!AK18</f>
        <v>60</v>
      </c>
      <c r="E8" s="19">
        <f>'月次事業計画'!AW18</f>
        <v>123</v>
      </c>
      <c r="F8" s="19">
        <f>'月次事業計画'!BI18</f>
        <v>200</v>
      </c>
    </row>
    <row r="10">
      <c r="A10" s="2" t="s">
        <v>191</v>
      </c>
      <c r="B10" s="3"/>
      <c r="C10" s="3"/>
      <c r="D10" s="3"/>
      <c r="E10" s="3"/>
      <c r="F10" s="3"/>
    </row>
    <row r="11">
      <c r="A11" s="4" t="s">
        <v>244</v>
      </c>
      <c r="B11" s="19">
        <f>'月次事業計画'!M27</f>
        <v>1425000</v>
      </c>
      <c r="C11" s="19">
        <f>'月次事業計画'!Y27</f>
        <v>10350000</v>
      </c>
      <c r="D11" s="19">
        <f>'月次事業計画'!AK27</f>
        <v>26700000</v>
      </c>
      <c r="E11" s="19">
        <f>'月次事業計画'!AW27</f>
        <v>49050000</v>
      </c>
      <c r="F11" s="19">
        <f>'月次事業計画'!BI27</f>
        <v>71875000</v>
      </c>
    </row>
    <row r="12">
      <c r="A12" s="4" t="s">
        <v>245</v>
      </c>
      <c r="B12" s="20">
        <f>'月次事業計画'!M27*12</f>
        <v>17100000</v>
      </c>
      <c r="C12" s="20">
        <f>'月次事業計画'!Y27*12</f>
        <v>124200000</v>
      </c>
      <c r="D12" s="20">
        <f>'月次事業計画'!AK27*12</f>
        <v>320400000</v>
      </c>
      <c r="E12" s="20">
        <f>'月次事業計画'!AW27*12</f>
        <v>588600000</v>
      </c>
      <c r="F12" s="20">
        <f>'月次事業計画'!BI27*12</f>
        <v>862500000</v>
      </c>
    </row>
    <row r="13">
      <c r="A13" s="4" t="s">
        <v>246</v>
      </c>
      <c r="B13" s="19">
        <f>SUM('月次事業計画'!B26:M26)</f>
        <v>19475000</v>
      </c>
      <c r="C13" s="19">
        <f>SUM('月次事業計画'!N26:Y26)</f>
        <v>117675000</v>
      </c>
      <c r="D13" s="19">
        <f>SUM('月次事業計画'!Z26:AK26)</f>
        <v>300400000</v>
      </c>
      <c r="E13" s="19">
        <f>SUM('月次事業計画'!AL26:AW26)</f>
        <v>582275000</v>
      </c>
      <c r="F13" s="19">
        <f>SUM('月次事業計画'!AX26:BI26)</f>
        <v>859175000</v>
      </c>
    </row>
    <row r="14">
      <c r="A14" s="4" t="s">
        <v>247</v>
      </c>
      <c r="B14" s="19">
        <f>SUM('月次事業計画'!B24:M24)</f>
        <v>7475000</v>
      </c>
      <c r="C14" s="19">
        <f>SUM('月次事業計画'!N24:Y24)</f>
        <v>62475000</v>
      </c>
      <c r="D14" s="19">
        <f>SUM('月次事業計画'!Z24:AK24)</f>
        <v>228400000</v>
      </c>
      <c r="E14" s="19">
        <f>SUM('月次事業計画'!AL24:AW24)</f>
        <v>462275000</v>
      </c>
      <c r="F14" s="19">
        <f>SUM('月次事業計画'!AX24:BI24)</f>
        <v>739175000</v>
      </c>
    </row>
    <row r="15">
      <c r="A15" s="4" t="s">
        <v>248</v>
      </c>
      <c r="B15" s="19">
        <f>SUM('月次事業計画'!B25:M25)</f>
        <v>12000000</v>
      </c>
      <c r="C15" s="19">
        <f>SUM('月次事業計画'!N25:Y25)</f>
        <v>55200000</v>
      </c>
      <c r="D15" s="19">
        <f>SUM('月次事業計画'!Z25:AK25)</f>
        <v>72000000</v>
      </c>
      <c r="E15" s="19">
        <f>SUM('月次事業計画'!AL25:AW25)</f>
        <v>120000000</v>
      </c>
      <c r="F15" s="19">
        <f>SUM('月次事業計画'!AX25:BI25)</f>
        <v>120000000</v>
      </c>
    </row>
    <row r="17">
      <c r="A17" s="2" t="s">
        <v>199</v>
      </c>
      <c r="B17" s="3"/>
      <c r="C17" s="3"/>
      <c r="D17" s="3"/>
      <c r="E17" s="3"/>
      <c r="F17" s="3"/>
    </row>
    <row r="18">
      <c r="A18" s="4" t="s">
        <v>249</v>
      </c>
      <c r="B18" s="19">
        <f>SUM('月次事業計画'!B42:M42)</f>
        <v>21078000</v>
      </c>
      <c r="C18" s="19">
        <f>SUM('月次事業計画'!N42:Y42)</f>
        <v>54584000</v>
      </c>
      <c r="D18" s="19">
        <f>SUM('月次事業計画'!Z42:AK42)</f>
        <v>122980000</v>
      </c>
      <c r="E18" s="19">
        <f>SUM('月次事業計画'!AL42:AW42)</f>
        <v>203878000</v>
      </c>
      <c r="F18" s="19">
        <f>SUM('月次事業計画'!AX42:BI42)</f>
        <v>199512000</v>
      </c>
    </row>
    <row r="19">
      <c r="A19" s="4" t="s">
        <v>22</v>
      </c>
      <c r="B19" s="19">
        <f>SUM('月次事業計画'!B30:M30)</f>
        <v>4200000</v>
      </c>
      <c r="C19" s="19">
        <f>SUM('月次事業計画'!N30:Y30)</f>
        <v>4200000</v>
      </c>
      <c r="D19" s="19">
        <f>SUM('月次事業計画'!Z30:AK30)</f>
        <v>4200000</v>
      </c>
      <c r="E19" s="19">
        <f>SUM('月次事業計画'!AL30:AW30)</f>
        <v>4200000</v>
      </c>
      <c r="F19" s="19">
        <f>SUM('月次事業計画'!AX30:BI30)</f>
        <v>4200000</v>
      </c>
    </row>
    <row r="20">
      <c r="A20" s="4" t="s">
        <v>23</v>
      </c>
      <c r="B20" s="19">
        <f>SUM('月次事業計画'!B31:M31)</f>
        <v>6300000</v>
      </c>
      <c r="C20" s="19">
        <f>SUM('月次事業計画'!N31:Y31)</f>
        <v>8400000</v>
      </c>
      <c r="D20" s="19">
        <f>SUM('月次事業計画'!Z31:AK31)</f>
        <v>8400000</v>
      </c>
      <c r="E20" s="19">
        <f>SUM('月次事業計画'!AL31:AW31)</f>
        <v>8400000</v>
      </c>
      <c r="F20" s="19">
        <f>SUM('月次事業計画'!AX31:BI31)</f>
        <v>8400000</v>
      </c>
    </row>
    <row r="21" ht="15.75" customHeight="1">
      <c r="A21" s="4" t="s">
        <v>200</v>
      </c>
      <c r="B21" s="19">
        <f>SUM('月次事業計画'!B32:M32)</f>
        <v>0</v>
      </c>
      <c r="C21" s="19">
        <f>SUM('月次事業計画'!N32:Y32)</f>
        <v>1800000</v>
      </c>
      <c r="D21" s="19">
        <f>SUM('月次事業計画'!Z32:AK32)</f>
        <v>3600000</v>
      </c>
      <c r="E21" s="19">
        <f>SUM('月次事業計画'!AL32:AW32)</f>
        <v>6000000</v>
      </c>
      <c r="F21" s="19">
        <f>SUM('月次事業計画'!AX32:BI32)</f>
        <v>6000000</v>
      </c>
    </row>
    <row r="22" ht="15.75" customHeight="1">
      <c r="A22" s="4" t="s">
        <v>201</v>
      </c>
      <c r="B22" s="19">
        <f>SUM('月次事業計画'!B33:M33)</f>
        <v>1200000</v>
      </c>
      <c r="C22" s="19">
        <f>SUM('月次事業計画'!N33:Y33)</f>
        <v>3600000</v>
      </c>
      <c r="D22" s="19">
        <f>SUM('月次事業計画'!Z33:AK33)</f>
        <v>4800000</v>
      </c>
      <c r="E22" s="19">
        <f>SUM('月次事業計画'!AL33:AW33)</f>
        <v>9600000</v>
      </c>
      <c r="F22" s="19">
        <f>SUM('月次事業計画'!AX33:BI33)</f>
        <v>9600000</v>
      </c>
    </row>
    <row r="23" ht="15.75" customHeight="1">
      <c r="A23" s="4" t="s">
        <v>202</v>
      </c>
      <c r="B23" s="19">
        <f>SUM('月次事業計画'!B34:M34)</f>
        <v>2400000</v>
      </c>
      <c r="C23" s="19">
        <f>SUM('月次事業計画'!N34:Y34)</f>
        <v>7200000</v>
      </c>
      <c r="D23" s="19">
        <f>SUM('月次事業計画'!Z34:AK34)</f>
        <v>9600000</v>
      </c>
      <c r="E23" s="19">
        <f>SUM('月次事業計画'!AL34:AW34)</f>
        <v>19200000</v>
      </c>
      <c r="F23" s="19">
        <f>SUM('月次事業計画'!AX34:BI34)</f>
        <v>19200000</v>
      </c>
    </row>
    <row r="24" ht="15.75" customHeight="1">
      <c r="A24" s="4" t="s">
        <v>203</v>
      </c>
      <c r="B24" s="19">
        <f>SUM('月次事業計画'!B35:M35)</f>
        <v>4800000</v>
      </c>
      <c r="C24" s="19">
        <f>SUM('月次事業計画'!N35:Y35)</f>
        <v>19200000</v>
      </c>
      <c r="D24" s="19">
        <f>SUM('月次事業計画'!Z35:AK35)</f>
        <v>28800000</v>
      </c>
      <c r="E24" s="19">
        <f>SUM('月次事業計画'!AL35:AW35)</f>
        <v>62400000</v>
      </c>
      <c r="F24" s="19">
        <f>SUM('月次事業計画'!AX35:BI35)</f>
        <v>62400000</v>
      </c>
    </row>
    <row r="25" ht="15.75" customHeight="1">
      <c r="A25" s="4" t="s">
        <v>204</v>
      </c>
      <c r="B25" s="19">
        <f>SUM('月次事業計画'!B36:M36)</f>
        <v>378000</v>
      </c>
      <c r="C25" s="19">
        <f>SUM('月次事業計画'!N36:Y36)</f>
        <v>2084000</v>
      </c>
      <c r="D25" s="19">
        <f>SUM('月次事業計画'!Z36:AK36)</f>
        <v>5080000</v>
      </c>
      <c r="E25" s="19">
        <f>SUM('月次事業計画'!AL36:AW36)</f>
        <v>8728000</v>
      </c>
      <c r="F25" s="19">
        <f>SUM('月次事業計画'!AX36:BI36)</f>
        <v>12312000</v>
      </c>
    </row>
    <row r="26" ht="15.75" customHeight="1">
      <c r="A26" s="4" t="s">
        <v>205</v>
      </c>
      <c r="B26" s="19">
        <f>SUM('月次事業計画'!B37:M37)</f>
        <v>0</v>
      </c>
      <c r="C26" s="19">
        <f>SUM('月次事業計画'!N37:Y37)</f>
        <v>6300000</v>
      </c>
      <c r="D26" s="19">
        <f>SUM('月次事業計画'!Z37:AK37)</f>
        <v>41400000</v>
      </c>
      <c r="E26" s="19">
        <f>SUM('月次事業計画'!AL37:AW37)</f>
        <v>51300000</v>
      </c>
      <c r="F26" s="19">
        <f>SUM('月次事業計画'!AX37:BI37)</f>
        <v>46800000</v>
      </c>
    </row>
    <row r="27" ht="15.75" customHeight="1">
      <c r="A27" s="4" t="s">
        <v>206</v>
      </c>
      <c r="B27" s="19">
        <f>SUM('月次事業計画'!B38:M38)</f>
        <v>0</v>
      </c>
      <c r="C27" s="19">
        <f>SUM('月次事業計画'!N38:Y38)</f>
        <v>0</v>
      </c>
      <c r="D27" s="19">
        <f>SUM('月次事業計画'!Z38:AK38)</f>
        <v>15300000</v>
      </c>
      <c r="E27" s="19">
        <f>SUM('月次事業計画'!AL38:AW38)</f>
        <v>32250000</v>
      </c>
      <c r="F27" s="19">
        <f>SUM('月次事業計画'!AX38:BI38)</f>
        <v>28800000</v>
      </c>
    </row>
    <row r="28" ht="15.75" customHeight="1">
      <c r="A28" s="4" t="s">
        <v>31</v>
      </c>
      <c r="B28" s="19">
        <f>SUM('月次事業計画'!B39:M39)</f>
        <v>1200000</v>
      </c>
      <c r="C28" s="19">
        <f>SUM('月次事業計画'!N39:Y39)</f>
        <v>1200000</v>
      </c>
      <c r="D28" s="19">
        <f>SUM('月次事業計画'!Z39:AK39)</f>
        <v>1200000</v>
      </c>
      <c r="E28" s="19">
        <f>SUM('月次事業計画'!AL39:AW39)</f>
        <v>1200000</v>
      </c>
      <c r="F28" s="19">
        <f>SUM('月次事業計画'!AX39:BI39)</f>
        <v>1200000</v>
      </c>
    </row>
    <row r="29" ht="15.75" customHeight="1">
      <c r="A29" s="4" t="s">
        <v>33</v>
      </c>
      <c r="B29" s="19">
        <f>SUM('月次事業計画'!B40:M40)</f>
        <v>600000</v>
      </c>
      <c r="C29" s="19">
        <f>SUM('月次事業計画'!N40:Y40)</f>
        <v>600000</v>
      </c>
      <c r="D29" s="19">
        <f>SUM('月次事業計画'!Z40:AK40)</f>
        <v>600000</v>
      </c>
      <c r="E29" s="19">
        <f>SUM('月次事業計画'!AL40:AW40)</f>
        <v>600000</v>
      </c>
      <c r="F29" s="19">
        <f>SUM('月次事業計画'!AX40:BI40)</f>
        <v>600000</v>
      </c>
    </row>
    <row r="30" ht="15.75" customHeight="1"/>
    <row r="31" ht="15.75" customHeight="1">
      <c r="A31" s="2" t="s">
        <v>214</v>
      </c>
      <c r="B31" s="3"/>
      <c r="C31" s="3"/>
      <c r="D31" s="3"/>
      <c r="E31" s="3"/>
      <c r="F31" s="3"/>
    </row>
    <row r="32" ht="15.75" customHeight="1">
      <c r="A32" s="4" t="s">
        <v>250</v>
      </c>
      <c r="B32" s="19">
        <f>SUM('月次事業計画'!B55:M55)</f>
        <v>-1603000</v>
      </c>
      <c r="C32" s="19">
        <f>SUM('月次事業計画'!N55:Y55)</f>
        <v>63091000</v>
      </c>
      <c r="D32" s="19">
        <f>SUM('月次事業計画'!Z55:AK55)</f>
        <v>177420000</v>
      </c>
      <c r="E32" s="19">
        <f>SUM('月次事業計画'!AL55:AW55)</f>
        <v>378397000</v>
      </c>
      <c r="F32" s="19">
        <f>SUM('月次事業計画'!AX55:BI55)</f>
        <v>659663000</v>
      </c>
    </row>
    <row r="33" ht="15.75" customHeight="1">
      <c r="A33" s="4" t="s">
        <v>218</v>
      </c>
      <c r="B33" s="13">
        <f t="shared" ref="B33:F33" si="1">IF(B13&lt;&gt;0,B32/B13,0)</f>
        <v>-0.08231065469</v>
      </c>
      <c r="C33" s="13">
        <f t="shared" si="1"/>
        <v>0.5361461653</v>
      </c>
      <c r="D33" s="13">
        <f t="shared" si="1"/>
        <v>0.5906125166</v>
      </c>
      <c r="E33" s="13">
        <f t="shared" si="1"/>
        <v>0.6498596024</v>
      </c>
      <c r="F33" s="13">
        <f t="shared" si="1"/>
        <v>0.7677865394</v>
      </c>
    </row>
    <row r="34" ht="15.75" customHeight="1">
      <c r="A34" s="4" t="s">
        <v>220</v>
      </c>
      <c r="B34" s="19">
        <f>'月次事業計画'!M58</f>
        <v>-1603000</v>
      </c>
      <c r="C34" s="19">
        <f>'月次事業計画'!Y58</f>
        <v>61488000</v>
      </c>
      <c r="D34" s="19">
        <f>'月次事業計画'!AK58</f>
        <v>238908000</v>
      </c>
      <c r="E34" s="19">
        <f>'月次事業計画'!AW58</f>
        <v>617305000</v>
      </c>
      <c r="F34" s="19">
        <f>'月次事業計画'!BI58</f>
        <v>1276968000</v>
      </c>
    </row>
    <row r="35" ht="15.75" customHeight="1"/>
    <row r="36" ht="15.75" customHeight="1">
      <c r="A36" s="2" t="s">
        <v>251</v>
      </c>
      <c r="B36" s="3"/>
      <c r="C36" s="3"/>
      <c r="D36" s="3"/>
      <c r="E36" s="3"/>
      <c r="F36" s="3"/>
    </row>
    <row r="37" ht="15.75" customHeight="1">
      <c r="A37" s="4" t="s">
        <v>226</v>
      </c>
      <c r="B37" s="19">
        <f>SUM('月次事業計画'!B65:M65)</f>
        <v>0</v>
      </c>
      <c r="C37" s="19">
        <f>SUM('月次事業計画'!N65:Y65)</f>
        <v>50000000</v>
      </c>
      <c r="D37" s="19">
        <f>SUM('月次事業計画'!Z65:AK65)</f>
        <v>0</v>
      </c>
      <c r="E37" s="19">
        <f>SUM('月次事業計画'!AL65:AW65)</f>
        <v>0</v>
      </c>
      <c r="F37" s="19">
        <f>SUM('月次事業計画'!AX65:BI65)</f>
        <v>0</v>
      </c>
    </row>
    <row r="38" ht="15.75" customHeight="1">
      <c r="A38" s="4" t="s">
        <v>252</v>
      </c>
      <c r="B38" s="19">
        <f>SUM('月次事業計画'!B66:M66)</f>
        <v>0</v>
      </c>
      <c r="C38" s="19">
        <f>SUM('月次事業計画'!N66:Y66)</f>
        <v>0</v>
      </c>
      <c r="D38" s="19">
        <f>SUM('月次事業計画'!Z66:AK66)</f>
        <v>0</v>
      </c>
      <c r="E38" s="19">
        <f>SUM('月次事業計画'!AL66:AW66)</f>
        <v>0</v>
      </c>
      <c r="F38" s="19">
        <f>SUM('月次事業計画'!AX66:BI66)</f>
        <v>0</v>
      </c>
    </row>
    <row r="39" ht="15.75" customHeight="1">
      <c r="A39" s="4" t="s">
        <v>253</v>
      </c>
      <c r="B39" s="19">
        <f>SUM('月次事業計画'!B61:M61)</f>
        <v>1603000</v>
      </c>
      <c r="C39" s="19">
        <f>SUM('月次事業計画'!N61:Y61)</f>
        <v>-63091000</v>
      </c>
      <c r="D39" s="19">
        <f>SUM('月次事業計画'!Z61:AK61)</f>
        <v>-177420000</v>
      </c>
      <c r="E39" s="19">
        <f>SUM('月次事業計画'!AL61:AW61)</f>
        <v>-378397000</v>
      </c>
      <c r="F39" s="19">
        <f>SUM('月次事業計画'!AX61:BI61)</f>
        <v>-659663000</v>
      </c>
    </row>
    <row r="40" ht="15.75" customHeight="1">
      <c r="A40" s="4" t="s">
        <v>254</v>
      </c>
      <c r="B40" s="20">
        <f>AVERAGE('月次事業計画'!B61:M61)</f>
        <v>133583.3333</v>
      </c>
      <c r="C40" s="20">
        <f>AVERAGE('月次事業計画'!N61:Y61)</f>
        <v>-5257583.333</v>
      </c>
      <c r="D40" s="20">
        <f>AVERAGE('月次事業計画'!Z61:AK61)</f>
        <v>-14785000</v>
      </c>
      <c r="E40" s="20">
        <f>AVERAGE('月次事業計画'!AL61:AW61)</f>
        <v>-31533083.33</v>
      </c>
      <c r="F40" s="20">
        <f>AVERAGE('月次事業計画'!AX61:BI61)</f>
        <v>-54971916.67</v>
      </c>
    </row>
    <row r="41" ht="15.75" customHeight="1">
      <c r="A41" s="4" t="s">
        <v>255</v>
      </c>
      <c r="B41" s="19" t="str">
        <f>'月次事業計画'!M67</f>
        <v>#REF!</v>
      </c>
      <c r="C41" s="19" t="str">
        <f>'月次事業計画'!Y67</f>
        <v>#REF!</v>
      </c>
      <c r="D41" s="19" t="str">
        <f>'月次事業計画'!AK67</f>
        <v>#REF!</v>
      </c>
      <c r="E41" s="19" t="str">
        <f>'月次事業計画'!AW67</f>
        <v>#REF!</v>
      </c>
      <c r="F41" s="19" t="str">
        <f>'月次事業計画'!BI67</f>
        <v>#REF!</v>
      </c>
    </row>
    <row r="42" ht="15.75" customHeight="1">
      <c r="A42" s="4" t="s">
        <v>256</v>
      </c>
      <c r="B42" s="26" t="str">
        <f>'月次事業計画'!M68</f>
        <v>#REF!</v>
      </c>
      <c r="C42" s="26" t="str">
        <f>'月次事業計画'!Y68</f>
        <v>#REF!</v>
      </c>
      <c r="D42" s="26" t="str">
        <f>'月次事業計画'!AK68</f>
        <v>#REF!</v>
      </c>
      <c r="E42" s="26" t="str">
        <f>'月次事業計画'!AW68</f>
        <v>#REF!</v>
      </c>
      <c r="F42" s="26" t="str">
        <f>'月次事業計画'!BI68</f>
        <v>#REF!</v>
      </c>
    </row>
    <row r="43" ht="15.75" customHeight="1"/>
    <row r="44" ht="15.75" customHeight="1">
      <c r="A44" s="2" t="s">
        <v>257</v>
      </c>
      <c r="B44" s="3"/>
      <c r="C44" s="3"/>
      <c r="D44" s="3"/>
      <c r="E44" s="3"/>
      <c r="F44" s="3"/>
    </row>
    <row r="45" ht="15.75" customHeight="1">
      <c r="A45" s="4" t="s">
        <v>258</v>
      </c>
      <c r="B45" s="26">
        <f>'月次事業計画'!M80</f>
        <v>5</v>
      </c>
      <c r="C45" s="26">
        <f>'月次事業計画'!Y80</f>
        <v>17.42857143</v>
      </c>
      <c r="D45" s="26">
        <f>'月次事業計画'!AK80</f>
        <v>43.42857143</v>
      </c>
      <c r="E45" s="26">
        <f>'月次事業計画'!AW80</f>
        <v>64.71428571</v>
      </c>
      <c r="F45" s="26">
        <f>'月次事業計画'!BI80</f>
        <v>57.71428571</v>
      </c>
    </row>
    <row r="46" ht="15.75" customHeight="1">
      <c r="A46" s="4" t="s">
        <v>231</v>
      </c>
      <c r="B46" s="26">
        <f>'月次事業計画'!M71</f>
        <v>1</v>
      </c>
      <c r="C46" s="26">
        <f>'月次事業計画'!Y71</f>
        <v>1</v>
      </c>
      <c r="D46" s="26">
        <f>'月次事業計画'!AK71</f>
        <v>1</v>
      </c>
      <c r="E46" s="26">
        <f>'月次事業計画'!AW71</f>
        <v>1</v>
      </c>
      <c r="F46" s="26">
        <f>'月次事業計画'!BI71</f>
        <v>1</v>
      </c>
    </row>
    <row r="47" ht="15.75" customHeight="1">
      <c r="A47" s="4" t="s">
        <v>40</v>
      </c>
      <c r="B47" s="26">
        <f>'月次事業計画'!M72</f>
        <v>1</v>
      </c>
      <c r="C47" s="26">
        <f>'月次事業計画'!Y72</f>
        <v>1</v>
      </c>
      <c r="D47" s="26">
        <f>'月次事業計画'!AK72</f>
        <v>1</v>
      </c>
      <c r="E47" s="26">
        <f>'月次事業計画'!AW72</f>
        <v>1</v>
      </c>
      <c r="F47" s="26">
        <f>'月次事業計画'!BI72</f>
        <v>1</v>
      </c>
    </row>
    <row r="48" ht="15.75" customHeight="1">
      <c r="A48" s="4" t="s">
        <v>232</v>
      </c>
      <c r="B48" s="26">
        <f>'月次事業計画'!M73</f>
        <v>0</v>
      </c>
      <c r="C48" s="26">
        <f>'月次事業計画'!Y73</f>
        <v>0.4285714286</v>
      </c>
      <c r="D48" s="26">
        <f>'月次事業計画'!AK73</f>
        <v>0.4285714286</v>
      </c>
      <c r="E48" s="26">
        <f>'月次事業計画'!AW73</f>
        <v>0.7142857143</v>
      </c>
      <c r="F48" s="26">
        <f>'月次事業計画'!BI73</f>
        <v>0.7142857143</v>
      </c>
    </row>
    <row r="49" ht="15.75" customHeight="1">
      <c r="A49" s="4" t="s">
        <v>41</v>
      </c>
      <c r="B49" s="26">
        <f>'月次事業計画'!M74</f>
        <v>1</v>
      </c>
      <c r="C49" s="26">
        <f>'月次事業計画'!Y74</f>
        <v>2</v>
      </c>
      <c r="D49" s="26">
        <f>'月次事業計画'!AK74</f>
        <v>2</v>
      </c>
      <c r="E49" s="26">
        <f>'月次事業計画'!AW74</f>
        <v>4</v>
      </c>
      <c r="F49" s="26">
        <f>'月次事業計画'!BI74</f>
        <v>4</v>
      </c>
    </row>
    <row r="50" ht="15.75" customHeight="1">
      <c r="A50" s="4" t="s">
        <v>233</v>
      </c>
      <c r="B50" s="26">
        <f>'月次事業計画'!M75</f>
        <v>1</v>
      </c>
      <c r="C50" s="26">
        <f>'月次事業計画'!Y75</f>
        <v>2</v>
      </c>
      <c r="D50" s="26">
        <f>'月次事業計画'!AK75</f>
        <v>2</v>
      </c>
      <c r="E50" s="26">
        <f>'月次事業計画'!AW75</f>
        <v>4</v>
      </c>
      <c r="F50" s="26">
        <f>'月次事業計画'!BI75</f>
        <v>4</v>
      </c>
    </row>
    <row r="51" ht="15.75" customHeight="1">
      <c r="A51" s="4" t="s">
        <v>234</v>
      </c>
      <c r="B51" s="26">
        <f>'月次事業計画'!M76</f>
        <v>1</v>
      </c>
      <c r="C51" s="26">
        <f>'月次事業計画'!Y76</f>
        <v>6</v>
      </c>
      <c r="D51" s="26">
        <f>'月次事業計画'!AK76</f>
        <v>6</v>
      </c>
      <c r="E51" s="26">
        <f>'月次事業計画'!AW76</f>
        <v>13</v>
      </c>
      <c r="F51" s="26">
        <f>'月次事業計画'!BI76</f>
        <v>13</v>
      </c>
    </row>
    <row r="52" ht="15.75" customHeight="1">
      <c r="A52" s="4" t="s">
        <v>235</v>
      </c>
      <c r="B52" s="26">
        <f>'月次事業計画'!M77</f>
        <v>0</v>
      </c>
      <c r="C52" s="26">
        <f>'月次事業計画'!Y77</f>
        <v>5</v>
      </c>
      <c r="D52" s="26">
        <f>'月次事業計画'!AK77</f>
        <v>17</v>
      </c>
      <c r="E52" s="26">
        <f>'月次事業計画'!AW77</f>
        <v>18</v>
      </c>
      <c r="F52" s="26">
        <f>'月次事業計画'!BI77</f>
        <v>15</v>
      </c>
    </row>
    <row r="53" ht="15.75" customHeight="1">
      <c r="A53" s="4" t="s">
        <v>236</v>
      </c>
      <c r="B53" s="26">
        <f>'月次事業計画'!M78</f>
        <v>0</v>
      </c>
      <c r="C53" s="26">
        <f>'月次事業計画'!Y78</f>
        <v>0</v>
      </c>
      <c r="D53" s="26">
        <f>'月次事業計画'!AK78</f>
        <v>14</v>
      </c>
      <c r="E53" s="26">
        <f>'月次事業計画'!AW78</f>
        <v>23</v>
      </c>
      <c r="F53" s="26">
        <f>'月次事業計画'!BI78</f>
        <v>19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8.0"/>
    <col customWidth="1" min="7" max="26" width="8.71"/>
  </cols>
  <sheetData>
    <row r="1">
      <c r="A1" s="1" t="s">
        <v>259</v>
      </c>
    </row>
    <row r="3">
      <c r="A3" s="29"/>
      <c r="B3" s="29" t="s">
        <v>260</v>
      </c>
      <c r="C3" s="29" t="s">
        <v>261</v>
      </c>
      <c r="D3" s="30" t="s">
        <v>262</v>
      </c>
      <c r="E3" s="29" t="s">
        <v>263</v>
      </c>
    </row>
    <row r="4">
      <c r="A4" s="4" t="s">
        <v>264</v>
      </c>
      <c r="B4" s="4" t="s">
        <v>265</v>
      </c>
      <c r="C4" s="4" t="s">
        <v>265</v>
      </c>
      <c r="D4" s="19">
        <f>'前提'!$B$65</f>
        <v>170000000</v>
      </c>
      <c r="E4" s="19">
        <f>'前提'!$B$69</f>
        <v>500000000</v>
      </c>
    </row>
    <row r="5">
      <c r="A5" s="4" t="s">
        <v>266</v>
      </c>
      <c r="B5" s="19">
        <f>'前提'!$B$61</f>
        <v>1000000</v>
      </c>
      <c r="C5" s="19">
        <f>'前提'!$B$63+'前提'!$B$64</f>
        <v>2500000</v>
      </c>
      <c r="D5" s="19">
        <f>'前提'!$B$66</f>
        <v>30000000</v>
      </c>
      <c r="E5" s="19">
        <f>'前提'!$B$70</f>
        <v>50000000</v>
      </c>
    </row>
    <row r="6">
      <c r="A6" s="4" t="s">
        <v>267</v>
      </c>
      <c r="B6" s="4" t="s">
        <v>265</v>
      </c>
      <c r="C6" s="4" t="s">
        <v>265</v>
      </c>
      <c r="D6" s="20">
        <f t="shared" ref="D6:E6" si="1">D4+D5</f>
        <v>200000000</v>
      </c>
      <c r="E6" s="20">
        <f t="shared" si="1"/>
        <v>550000000</v>
      </c>
    </row>
    <row r="7">
      <c r="A7" s="4" t="s">
        <v>268</v>
      </c>
      <c r="D7" s="19" t="str">
        <f>'前提'!$B$68</f>
        <v/>
      </c>
    </row>
    <row r="9">
      <c r="A9" s="2" t="s">
        <v>269</v>
      </c>
      <c r="B9" s="3"/>
      <c r="C9" s="3"/>
      <c r="D9" s="3"/>
      <c r="E9" s="3"/>
      <c r="F9" s="3"/>
    </row>
    <row r="10">
      <c r="A10" s="4" t="s">
        <v>270</v>
      </c>
      <c r="C10" s="20">
        <f>'前提'!$B$62/'前提'!$B$60</f>
        <v>100</v>
      </c>
    </row>
    <row r="11">
      <c r="A11" s="4" t="s">
        <v>271</v>
      </c>
      <c r="C11" s="20">
        <f>ROUNDDOWN(C5/C10,0)</f>
        <v>25000</v>
      </c>
    </row>
    <row r="12">
      <c r="A12" s="4" t="s">
        <v>272</v>
      </c>
      <c r="C12" s="23">
        <f>'前提'!$B$60+C11</f>
        <v>1025000</v>
      </c>
    </row>
    <row r="13">
      <c r="A13" s="4" t="s">
        <v>273</v>
      </c>
      <c r="D13" s="31">
        <f>D4/C12</f>
        <v>165.8536585</v>
      </c>
    </row>
    <row r="14">
      <c r="A14" s="4" t="s">
        <v>274</v>
      </c>
      <c r="D14" s="20">
        <f>ROUNDDOWN(D5/D13,0)</f>
        <v>180882</v>
      </c>
    </row>
    <row r="15">
      <c r="A15" s="4" t="s">
        <v>275</v>
      </c>
      <c r="D15" s="23">
        <f>C12+D14</f>
        <v>1205882</v>
      </c>
    </row>
    <row r="16">
      <c r="A16" s="4" t="s">
        <v>276</v>
      </c>
      <c r="E16" s="31">
        <f>E4/D15</f>
        <v>414.6342677</v>
      </c>
    </row>
    <row r="17">
      <c r="A17" s="4" t="s">
        <v>277</v>
      </c>
      <c r="E17" s="20">
        <f>ROUNDDOWN(E5/E16,0)</f>
        <v>120588</v>
      </c>
    </row>
    <row r="18">
      <c r="A18" s="4" t="s">
        <v>278</v>
      </c>
      <c r="E18" s="20">
        <f>ROUNDDOWN((D15+E17)*'前提'!$B$71/(1-'前提'!$B$71),0)</f>
        <v>95255</v>
      </c>
    </row>
    <row r="19">
      <c r="A19" s="4" t="s">
        <v>279</v>
      </c>
      <c r="E19" s="23">
        <f>D15+E17+E18</f>
        <v>1421725</v>
      </c>
    </row>
    <row r="21" ht="15.75" customHeight="1">
      <c r="A21" s="2" t="s">
        <v>280</v>
      </c>
      <c r="B21" s="3"/>
      <c r="C21" s="3"/>
      <c r="D21" s="3"/>
      <c r="E21" s="3"/>
      <c r="F21" s="3"/>
    </row>
    <row r="22" ht="15.75" customHeight="1">
      <c r="A22" s="4" t="s">
        <v>281</v>
      </c>
      <c r="B22" s="32" t="s">
        <v>282</v>
      </c>
      <c r="C22" s="13">
        <f>'前提'!$B$60/C12</f>
        <v>0.9756097561</v>
      </c>
      <c r="D22" s="13">
        <f>'前提'!$B$60/D15</f>
        <v>0.8292685354</v>
      </c>
      <c r="E22" s="13">
        <f>'前提'!$B$60/E19</f>
        <v>0.7033709051</v>
      </c>
    </row>
    <row r="23" ht="15.75" customHeight="1">
      <c r="A23" s="4" t="s">
        <v>283</v>
      </c>
      <c r="B23" s="4" t="s">
        <v>265</v>
      </c>
      <c r="C23" s="13">
        <f>C11/C12</f>
        <v>0.0243902439</v>
      </c>
      <c r="D23" s="13">
        <f>C11/D15</f>
        <v>0.02073171338</v>
      </c>
      <c r="E23" s="13">
        <f>C11/E19</f>
        <v>0.01758427263</v>
      </c>
    </row>
    <row r="24" ht="15.75" customHeight="1">
      <c r="A24" s="4" t="s">
        <v>284</v>
      </c>
      <c r="C24" s="33">
        <f>ROUNDDOWN('前提'!$B$63/C10,0)/C12</f>
        <v>0.01951219512</v>
      </c>
      <c r="D24" s="33">
        <f>ROUNDDOWN('前提'!$B$63/C10,0)/D15</f>
        <v>0.01658537071</v>
      </c>
      <c r="E24" s="33">
        <f>ROUNDDOWN('前提'!$B$63/C10,0)/E19</f>
        <v>0.0140674181</v>
      </c>
    </row>
    <row r="25" ht="15.75" customHeight="1">
      <c r="A25" s="4" t="s">
        <v>285</v>
      </c>
      <c r="C25" s="33">
        <f>ROUNDDOWN('前提'!$B$64/C10,0)/C12</f>
        <v>0.00487804878</v>
      </c>
      <c r="D25" s="33">
        <f>ROUNDDOWN('前提'!$B$64/C10,0)/D15</f>
        <v>0.004146342677</v>
      </c>
      <c r="E25" s="33">
        <f>ROUNDDOWN('前提'!$B$64/C10,0)/E19</f>
        <v>0.003516854525</v>
      </c>
    </row>
    <row r="26" ht="15.75" customHeight="1">
      <c r="A26" s="8" t="s">
        <v>286</v>
      </c>
      <c r="B26" s="4" t="s">
        <v>265</v>
      </c>
      <c r="C26" s="4" t="s">
        <v>265</v>
      </c>
      <c r="D26" s="13">
        <f>D14/D15</f>
        <v>0.1499997512</v>
      </c>
      <c r="E26" s="13">
        <f>D14/E19</f>
        <v>0.127227136</v>
      </c>
    </row>
    <row r="27" ht="15.75" customHeight="1">
      <c r="A27" s="4" t="s">
        <v>287</v>
      </c>
      <c r="B27" s="4" t="s">
        <v>265</v>
      </c>
      <c r="C27" s="4" t="s">
        <v>265</v>
      </c>
      <c r="D27" s="4" t="s">
        <v>265</v>
      </c>
      <c r="E27" s="13">
        <f>E18/E19</f>
        <v>0.06699959556</v>
      </c>
    </row>
    <row r="28" ht="15.75" customHeight="1">
      <c r="A28" s="4" t="s">
        <v>288</v>
      </c>
      <c r="B28" s="4" t="s">
        <v>265</v>
      </c>
      <c r="C28" s="4" t="s">
        <v>265</v>
      </c>
      <c r="D28" s="4" t="s">
        <v>265</v>
      </c>
      <c r="E28" s="13">
        <f>E17/E19</f>
        <v>0.0848180907</v>
      </c>
    </row>
    <row r="29" ht="15.75" customHeight="1"/>
    <row r="30" ht="15.75" customHeight="1">
      <c r="A30" s="12" t="s">
        <v>289</v>
      </c>
      <c r="E30" s="34">
        <f>E22+E23+E26+E27+E28</f>
        <v>1</v>
      </c>
    </row>
    <row r="31" ht="15.75" customHeight="1"/>
    <row r="32" ht="15.75" customHeight="1">
      <c r="A32" s="35" t="s">
        <v>290</v>
      </c>
      <c r="B32" s="3"/>
      <c r="C32" s="3"/>
      <c r="D32" s="3"/>
      <c r="E32" s="3"/>
      <c r="F32" s="3"/>
    </row>
    <row r="33" ht="15.75" customHeight="1">
      <c r="A33" s="12"/>
      <c r="B33" s="29" t="s">
        <v>291</v>
      </c>
      <c r="C33" s="29" t="s">
        <v>292</v>
      </c>
      <c r="D33" s="29" t="s">
        <v>293</v>
      </c>
      <c r="E33" s="29" t="s">
        <v>294</v>
      </c>
      <c r="F33" s="29" t="s">
        <v>295</v>
      </c>
    </row>
    <row r="34" ht="15.75" customHeight="1">
      <c r="A34" s="4" t="s">
        <v>296</v>
      </c>
      <c r="B34" s="5">
        <v>3.0E8</v>
      </c>
      <c r="C34" s="5">
        <v>5.0E8</v>
      </c>
      <c r="D34" s="5">
        <v>7.0E8</v>
      </c>
      <c r="E34" s="5">
        <v>1.0E9</v>
      </c>
      <c r="F34" s="5">
        <v>1.5E9</v>
      </c>
    </row>
    <row r="35" ht="15.75" customHeight="1">
      <c r="A35" s="4" t="s">
        <v>297</v>
      </c>
      <c r="B35" s="19">
        <f>'前提'!$B$70</f>
        <v>50000000</v>
      </c>
      <c r="C35" s="19">
        <f>'前提'!$B$70</f>
        <v>50000000</v>
      </c>
      <c r="D35" s="19">
        <f>'前提'!$B$70</f>
        <v>50000000</v>
      </c>
      <c r="E35" s="19">
        <f>'前提'!$B$70</f>
        <v>50000000</v>
      </c>
      <c r="F35" s="19">
        <f>'前提'!$B$70</f>
        <v>50000000</v>
      </c>
    </row>
    <row r="36" ht="15.75" customHeight="1">
      <c r="A36" s="4" t="s">
        <v>276</v>
      </c>
      <c r="B36" s="31">
        <f t="shared" ref="B36:F36" si="2">B34/$D$15</f>
        <v>248.7805606</v>
      </c>
      <c r="C36" s="31">
        <f t="shared" si="2"/>
        <v>414.6342677</v>
      </c>
      <c r="D36" s="31">
        <f t="shared" si="2"/>
        <v>580.4879748</v>
      </c>
      <c r="E36" s="31">
        <f t="shared" si="2"/>
        <v>829.2685354</v>
      </c>
      <c r="F36" s="31">
        <f t="shared" si="2"/>
        <v>1243.902803</v>
      </c>
    </row>
    <row r="37" ht="15.75" customHeight="1">
      <c r="A37" s="4" t="s">
        <v>298</v>
      </c>
      <c r="B37" s="20">
        <f t="shared" ref="B37:F37" si="3">ROUNDDOWN(B35/B36,0)</f>
        <v>200980</v>
      </c>
      <c r="C37" s="20">
        <f t="shared" si="3"/>
        <v>120588</v>
      </c>
      <c r="D37" s="20">
        <f t="shared" si="3"/>
        <v>86134</v>
      </c>
      <c r="E37" s="20">
        <f t="shared" si="3"/>
        <v>60294</v>
      </c>
      <c r="F37" s="20">
        <f t="shared" si="3"/>
        <v>40196</v>
      </c>
    </row>
    <row r="38" ht="15.75" customHeight="1">
      <c r="A38" s="4" t="s">
        <v>278</v>
      </c>
      <c r="B38" s="20">
        <f>ROUNDDOWN(($D$15+B37)*'前提'!$B$71/(1-'前提'!$B$71),0)</f>
        <v>101028</v>
      </c>
      <c r="C38" s="20">
        <f>ROUNDDOWN(($D$15+C37)*'前提'!$B$71/(1-'前提'!$B$71),0)</f>
        <v>95255</v>
      </c>
      <c r="D38" s="20">
        <f>ROUNDDOWN(($D$15+D37)*'前提'!$B$71/(1-'前提'!$B$71),0)</f>
        <v>92781</v>
      </c>
      <c r="E38" s="20">
        <f>ROUNDDOWN(($D$15+E37)*'前提'!$B$71/(1-'前提'!$B$71),0)</f>
        <v>90925</v>
      </c>
      <c r="F38" s="20">
        <f>ROUNDDOWN(($D$15+F37)*'前提'!$B$71/(1-'前提'!$B$71),0)</f>
        <v>89482</v>
      </c>
    </row>
    <row r="39" ht="15.75" customHeight="1">
      <c r="A39" s="4" t="s">
        <v>299</v>
      </c>
      <c r="B39" s="23">
        <f t="shared" ref="B39:F39" si="4">$D$15+B37+B38</f>
        <v>1507890</v>
      </c>
      <c r="C39" s="23">
        <f t="shared" si="4"/>
        <v>1421725</v>
      </c>
      <c r="D39" s="23">
        <f t="shared" si="4"/>
        <v>1384797</v>
      </c>
      <c r="E39" s="23">
        <f t="shared" si="4"/>
        <v>1357101</v>
      </c>
      <c r="F39" s="23">
        <f t="shared" si="4"/>
        <v>1335560</v>
      </c>
    </row>
    <row r="40" ht="15.75" customHeight="1"/>
    <row r="41" ht="15.75" customHeight="1">
      <c r="A41" s="12" t="s">
        <v>300</v>
      </c>
      <c r="B41" s="34">
        <f>'前提'!$B$60/B39</f>
        <v>0.6631783486</v>
      </c>
      <c r="C41" s="34">
        <f>'前提'!$B$60/C39</f>
        <v>0.7033709051</v>
      </c>
      <c r="D41" s="34">
        <f>'前提'!$B$60/D39</f>
        <v>0.7221275032</v>
      </c>
      <c r="E41" s="34">
        <f>'前提'!$B$60/E39</f>
        <v>0.7368648317</v>
      </c>
      <c r="F41" s="34">
        <f>'前提'!$B$60/F39</f>
        <v>0.7487495882</v>
      </c>
    </row>
    <row r="42" ht="15.75" customHeight="1">
      <c r="A42" s="4" t="s">
        <v>283</v>
      </c>
      <c r="B42" s="13">
        <f t="shared" ref="B42:F42" si="5">$C$11/B39</f>
        <v>0.01657945871</v>
      </c>
      <c r="C42" s="13">
        <f t="shared" si="5"/>
        <v>0.01758427263</v>
      </c>
      <c r="D42" s="13">
        <f t="shared" si="5"/>
        <v>0.01805318758</v>
      </c>
      <c r="E42" s="13">
        <f t="shared" si="5"/>
        <v>0.01842162079</v>
      </c>
      <c r="F42" s="13">
        <f t="shared" si="5"/>
        <v>0.0187187397</v>
      </c>
    </row>
    <row r="43" ht="15.75" customHeight="1">
      <c r="A43" s="8" t="s">
        <v>286</v>
      </c>
      <c r="B43" s="13">
        <f t="shared" ref="B43:F43" si="6">$D$14/B39</f>
        <v>0.119957026</v>
      </c>
      <c r="C43" s="13">
        <f t="shared" si="6"/>
        <v>0.127227136</v>
      </c>
      <c r="D43" s="13">
        <f t="shared" si="6"/>
        <v>0.130619867</v>
      </c>
      <c r="E43" s="13">
        <f t="shared" si="6"/>
        <v>0.1332855845</v>
      </c>
      <c r="F43" s="13">
        <f t="shared" si="6"/>
        <v>0.135435323</v>
      </c>
    </row>
    <row r="44" ht="15.75" customHeight="1">
      <c r="A44" s="4" t="s">
        <v>287</v>
      </c>
      <c r="B44" s="13">
        <f t="shared" ref="B44:F44" si="7">B38/B39</f>
        <v>0.0669995822</v>
      </c>
      <c r="C44" s="13">
        <f t="shared" si="7"/>
        <v>0.06699959556</v>
      </c>
      <c r="D44" s="13">
        <f t="shared" si="7"/>
        <v>0.06699971187</v>
      </c>
      <c r="E44" s="13">
        <f t="shared" si="7"/>
        <v>0.06699943482</v>
      </c>
      <c r="F44" s="13">
        <f t="shared" si="7"/>
        <v>0.06699961065</v>
      </c>
    </row>
    <row r="45" ht="15.75" customHeight="1">
      <c r="A45" s="4" t="s">
        <v>288</v>
      </c>
      <c r="B45" s="13">
        <f t="shared" ref="B45:F45" si="8">B37/B39</f>
        <v>0.1332855845</v>
      </c>
      <c r="C45" s="13">
        <f t="shared" si="8"/>
        <v>0.0848180907</v>
      </c>
      <c r="D45" s="13">
        <f t="shared" si="8"/>
        <v>0.06219973036</v>
      </c>
      <c r="E45" s="13">
        <f t="shared" si="8"/>
        <v>0.04442852816</v>
      </c>
      <c r="F45" s="13">
        <f t="shared" si="8"/>
        <v>0.03009673845</v>
      </c>
    </row>
    <row r="46" ht="15.75" customHeight="1"/>
    <row r="47" ht="15.75" customHeight="1">
      <c r="A47" s="12" t="s">
        <v>301</v>
      </c>
      <c r="B47" s="36" t="str">
        <f t="shared" ref="B47:F47" si="9">IF(B41&gt;=0.5,"OK","NG")</f>
        <v>OK</v>
      </c>
      <c r="C47" s="36" t="str">
        <f t="shared" si="9"/>
        <v>OK</v>
      </c>
      <c r="D47" s="36" t="str">
        <f t="shared" si="9"/>
        <v>OK</v>
      </c>
      <c r="E47" s="36" t="str">
        <f t="shared" si="9"/>
        <v>OK</v>
      </c>
      <c r="F47" s="36" t="str">
        <f t="shared" si="9"/>
        <v>OK</v>
      </c>
    </row>
    <row r="48" ht="15.75" customHeight="1"/>
    <row r="49" ht="15.75" customHeight="1">
      <c r="A49" s="35" t="s">
        <v>302</v>
      </c>
      <c r="B49" s="3"/>
      <c r="C49" s="3"/>
      <c r="D49" s="3"/>
      <c r="E49" s="3"/>
      <c r="F49" s="3"/>
    </row>
    <row r="50" ht="15.75" customHeight="1">
      <c r="A50" s="12"/>
      <c r="B50" s="29" t="s">
        <v>303</v>
      </c>
      <c r="C50" s="29" t="s">
        <v>304</v>
      </c>
      <c r="D50" s="29" t="s">
        <v>305</v>
      </c>
      <c r="E50" s="29" t="s">
        <v>306</v>
      </c>
      <c r="F50" s="29" t="s">
        <v>307</v>
      </c>
    </row>
    <row r="51" ht="15.75" customHeight="1">
      <c r="A51" s="4" t="s">
        <v>308</v>
      </c>
      <c r="B51" s="11">
        <v>10.0</v>
      </c>
      <c r="C51" s="11">
        <v>15.0</v>
      </c>
      <c r="D51" s="11">
        <v>20.0</v>
      </c>
      <c r="E51" s="11">
        <v>30.0</v>
      </c>
      <c r="F51" s="11">
        <v>40.0</v>
      </c>
    </row>
    <row r="52" ht="15.75" customHeight="1">
      <c r="A52" s="4" t="s">
        <v>309</v>
      </c>
      <c r="B52" s="20">
        <f t="shared" ref="B52:F52" si="10">300000000/B51</f>
        <v>30000000</v>
      </c>
      <c r="C52" s="20">
        <f t="shared" si="10"/>
        <v>20000000</v>
      </c>
      <c r="D52" s="20">
        <f t="shared" si="10"/>
        <v>15000000</v>
      </c>
      <c r="E52" s="20">
        <f t="shared" si="10"/>
        <v>10000000</v>
      </c>
      <c r="F52" s="20">
        <f t="shared" si="10"/>
        <v>7500000</v>
      </c>
    </row>
    <row r="53" ht="15.75" customHeight="1">
      <c r="A53" s="4" t="s">
        <v>310</v>
      </c>
      <c r="B53" s="20">
        <f t="shared" ref="B53:F53" si="11">500000000/B51</f>
        <v>50000000</v>
      </c>
      <c r="C53" s="20">
        <f t="shared" si="11"/>
        <v>33333333.33</v>
      </c>
      <c r="D53" s="20">
        <f t="shared" si="11"/>
        <v>25000000</v>
      </c>
      <c r="E53" s="20">
        <f t="shared" si="11"/>
        <v>16666666.67</v>
      </c>
      <c r="F53" s="20">
        <f t="shared" si="11"/>
        <v>12500000</v>
      </c>
    </row>
    <row r="54" ht="15.75" customHeight="1">
      <c r="A54" s="4" t="s">
        <v>311</v>
      </c>
      <c r="B54" s="20">
        <f t="shared" ref="B54:F54" si="12">700000000/B51</f>
        <v>70000000</v>
      </c>
      <c r="C54" s="20">
        <f t="shared" si="12"/>
        <v>46666666.67</v>
      </c>
      <c r="D54" s="20">
        <f t="shared" si="12"/>
        <v>35000000</v>
      </c>
      <c r="E54" s="20">
        <f t="shared" si="12"/>
        <v>23333333.33</v>
      </c>
      <c r="F54" s="20">
        <f t="shared" si="12"/>
        <v>17500000</v>
      </c>
    </row>
    <row r="55" ht="15.75" customHeight="1">
      <c r="A55" s="4" t="s">
        <v>312</v>
      </c>
      <c r="B55" s="20">
        <f t="shared" ref="B55:F55" si="13">1000000000/B51</f>
        <v>100000000</v>
      </c>
      <c r="C55" s="20">
        <f t="shared" si="13"/>
        <v>66666666.67</v>
      </c>
      <c r="D55" s="20">
        <f t="shared" si="13"/>
        <v>50000000</v>
      </c>
      <c r="E55" s="20">
        <f t="shared" si="13"/>
        <v>33333333.33</v>
      </c>
      <c r="F55" s="20">
        <f t="shared" si="13"/>
        <v>25000000</v>
      </c>
    </row>
    <row r="56" ht="15.75" customHeight="1"/>
    <row r="57" ht="15.75" customHeight="1">
      <c r="A57" s="2" t="s">
        <v>313</v>
      </c>
      <c r="B57" s="3"/>
      <c r="C57" s="3"/>
      <c r="D57" s="3"/>
      <c r="E57" s="3"/>
      <c r="F57" s="3"/>
    </row>
    <row r="58" ht="15.75" customHeight="1">
      <c r="A58" s="12"/>
      <c r="B58" s="18" t="s">
        <v>239</v>
      </c>
      <c r="C58" s="18" t="s">
        <v>240</v>
      </c>
      <c r="D58" s="18" t="s">
        <v>241</v>
      </c>
      <c r="E58" s="18" t="s">
        <v>242</v>
      </c>
      <c r="F58" s="18" t="s">
        <v>243</v>
      </c>
    </row>
    <row r="59" ht="15.75" customHeight="1">
      <c r="A59" s="4" t="s">
        <v>314</v>
      </c>
      <c r="B59" s="19">
        <f>'月次事業計画'!M27*12</f>
        <v>17100000</v>
      </c>
      <c r="C59" s="19">
        <f>'月次事業計画'!Y27*12</f>
        <v>124200000</v>
      </c>
      <c r="D59" s="19">
        <f>'月次事業計画'!AK27*12</f>
        <v>320400000</v>
      </c>
      <c r="E59" s="19">
        <f>'月次事業計画'!AW27*12</f>
        <v>588600000</v>
      </c>
      <c r="F59" s="19">
        <f>'月次事業計画'!BI27*12</f>
        <v>862500000</v>
      </c>
    </row>
    <row r="60" ht="15.75" customHeight="1">
      <c r="A60" s="4" t="s">
        <v>315</v>
      </c>
      <c r="B60" s="19">
        <f>'月次事業計画'!M27</f>
        <v>1425000</v>
      </c>
      <c r="C60" s="19">
        <f>'月次事業計画'!Y27</f>
        <v>10350000</v>
      </c>
      <c r="D60" s="19">
        <f>'月次事業計画'!AK27</f>
        <v>26700000</v>
      </c>
      <c r="E60" s="19">
        <f>'月次事業計画'!AW27</f>
        <v>49050000</v>
      </c>
      <c r="F60" s="19">
        <f>'月次事業計画'!BI27</f>
        <v>71875000</v>
      </c>
    </row>
    <row r="61" ht="15.75" customHeight="1">
      <c r="A61" s="17" t="s">
        <v>316</v>
      </c>
      <c r="B61" s="21">
        <f t="shared" ref="B61:F61" si="14">IF(B59&gt;0,300000000/B59,"-")</f>
        <v>17.54385965</v>
      </c>
      <c r="C61" s="21">
        <f t="shared" si="14"/>
        <v>2.415458937</v>
      </c>
      <c r="D61" s="21">
        <f t="shared" si="14"/>
        <v>0.936329588</v>
      </c>
      <c r="E61" s="21">
        <f t="shared" si="14"/>
        <v>0.5096839959</v>
      </c>
      <c r="F61" s="21">
        <f t="shared" si="14"/>
        <v>0.347826087</v>
      </c>
    </row>
    <row r="62" ht="15.75" customHeight="1">
      <c r="A62" s="17" t="s">
        <v>317</v>
      </c>
      <c r="B62" s="21">
        <f t="shared" ref="B62:F62" si="15">IF(B59&gt;0,500000000/B59,"-")</f>
        <v>29.23976608</v>
      </c>
      <c r="C62" s="21">
        <f t="shared" si="15"/>
        <v>4.025764895</v>
      </c>
      <c r="D62" s="21">
        <f t="shared" si="15"/>
        <v>1.560549313</v>
      </c>
      <c r="E62" s="21">
        <f t="shared" si="15"/>
        <v>0.8494733265</v>
      </c>
      <c r="F62" s="21">
        <f t="shared" si="15"/>
        <v>0.5797101449</v>
      </c>
    </row>
    <row r="63" ht="15.75" customHeight="1">
      <c r="A63" s="17" t="s">
        <v>318</v>
      </c>
      <c r="B63" s="21">
        <f t="shared" ref="B63:F63" si="16">IF(B59&gt;0,1000000000/B59,"-")</f>
        <v>58.47953216</v>
      </c>
      <c r="C63" s="21">
        <f t="shared" si="16"/>
        <v>8.051529791</v>
      </c>
      <c r="D63" s="21">
        <f t="shared" si="16"/>
        <v>3.121098627</v>
      </c>
      <c r="E63" s="21">
        <f t="shared" si="16"/>
        <v>1.698946653</v>
      </c>
      <c r="F63" s="21">
        <f t="shared" si="16"/>
        <v>1.15942029</v>
      </c>
    </row>
    <row r="64" ht="15.75" customHeight="1"/>
    <row r="65" ht="15.75" customHeight="1">
      <c r="A65" s="12" t="s">
        <v>319</v>
      </c>
    </row>
    <row r="66" ht="15.75" customHeight="1">
      <c r="A66" s="6" t="s">
        <v>320</v>
      </c>
    </row>
    <row r="67" ht="15.75" customHeight="1">
      <c r="A67" s="6" t="s">
        <v>321</v>
      </c>
    </row>
    <row r="68" ht="15.75" customHeight="1">
      <c r="A68" s="6" t="s">
        <v>322</v>
      </c>
    </row>
    <row r="69" ht="15.75" customHeight="1"/>
    <row r="70" ht="15.75" customHeight="1">
      <c r="A70" s="35" t="s">
        <v>323</v>
      </c>
      <c r="B70" s="3"/>
      <c r="C70" s="3"/>
      <c r="D70" s="3"/>
      <c r="E70" s="3"/>
      <c r="F70" s="3"/>
    </row>
    <row r="71" ht="15.75" customHeight="1">
      <c r="A71" s="12" t="s">
        <v>324</v>
      </c>
    </row>
    <row r="72" ht="15.75" customHeight="1">
      <c r="B72" s="29" t="s">
        <v>325</v>
      </c>
      <c r="C72" s="29" t="s">
        <v>326</v>
      </c>
      <c r="D72" s="29" t="s">
        <v>327</v>
      </c>
      <c r="E72" s="29" t="s">
        <v>328</v>
      </c>
      <c r="F72" s="29" t="s">
        <v>329</v>
      </c>
    </row>
    <row r="73" ht="15.75" customHeight="1">
      <c r="A73" s="4" t="s">
        <v>330</v>
      </c>
      <c r="B73" s="5">
        <v>1.0E9</v>
      </c>
      <c r="C73" s="5">
        <v>1.5E9</v>
      </c>
      <c r="D73" s="5">
        <v>2.0E9</v>
      </c>
      <c r="E73" s="5">
        <v>3.0E9</v>
      </c>
      <c r="F73" s="5">
        <v>5.0E9</v>
      </c>
    </row>
    <row r="74" ht="15.75" customHeight="1">
      <c r="A74" s="4" t="s">
        <v>331</v>
      </c>
      <c r="B74" s="20">
        <f t="shared" ref="B74:F74" si="17">B73*$E$22</f>
        <v>703370905.1</v>
      </c>
      <c r="C74" s="20">
        <f t="shared" si="17"/>
        <v>1055056358</v>
      </c>
      <c r="D74" s="20">
        <f t="shared" si="17"/>
        <v>1406741810</v>
      </c>
      <c r="E74" s="20">
        <f t="shared" si="17"/>
        <v>2110112715</v>
      </c>
      <c r="F74" s="20">
        <f t="shared" si="17"/>
        <v>3516854525</v>
      </c>
    </row>
    <row r="75" ht="15.75" customHeight="1">
      <c r="A75" s="4" t="s">
        <v>332</v>
      </c>
      <c r="B75" s="20">
        <f t="shared" ref="B75:F75" si="18">B73*$E$28</f>
        <v>84818090.7</v>
      </c>
      <c r="C75" s="20">
        <f t="shared" si="18"/>
        <v>127227136</v>
      </c>
      <c r="D75" s="20">
        <f t="shared" si="18"/>
        <v>169636181.4</v>
      </c>
      <c r="E75" s="20">
        <f t="shared" si="18"/>
        <v>254454272.1</v>
      </c>
      <c r="F75" s="20">
        <f t="shared" si="18"/>
        <v>424090453.5</v>
      </c>
    </row>
    <row r="76" ht="15.75" customHeight="1">
      <c r="A76" s="12" t="s">
        <v>333</v>
      </c>
      <c r="B76" s="37">
        <f t="shared" ref="B76:F76" si="19">IF($E$5&gt;0,B75/$E$5,0)</f>
        <v>1.696361814</v>
      </c>
      <c r="C76" s="37">
        <f t="shared" si="19"/>
        <v>2.544542721</v>
      </c>
      <c r="D76" s="37">
        <f t="shared" si="19"/>
        <v>3.392723628</v>
      </c>
      <c r="E76" s="37">
        <f t="shared" si="19"/>
        <v>5.089085442</v>
      </c>
      <c r="F76" s="37">
        <f t="shared" si="19"/>
        <v>8.48180907</v>
      </c>
    </row>
    <row r="77" ht="15.75" customHeight="1">
      <c r="A77" s="4" t="s">
        <v>334</v>
      </c>
      <c r="B77" s="38">
        <f t="shared" ref="B77:F77" si="20">$E$5</f>
        <v>50000000</v>
      </c>
      <c r="C77" s="38">
        <f t="shared" si="20"/>
        <v>50000000</v>
      </c>
      <c r="D77" s="38">
        <f t="shared" si="20"/>
        <v>50000000</v>
      </c>
      <c r="E77" s="38">
        <f t="shared" si="20"/>
        <v>50000000</v>
      </c>
      <c r="F77" s="38">
        <f t="shared" si="20"/>
        <v>50000000</v>
      </c>
    </row>
    <row r="78" ht="15.75" customHeight="1">
      <c r="A78" s="4" t="s">
        <v>335</v>
      </c>
      <c r="B78" s="20">
        <f t="shared" ref="B78:F78" si="21">MAX($E$5,B75)</f>
        <v>84818090.7</v>
      </c>
      <c r="C78" s="20">
        <f t="shared" si="21"/>
        <v>127227136</v>
      </c>
      <c r="D78" s="20">
        <f t="shared" si="21"/>
        <v>169636181.4</v>
      </c>
      <c r="E78" s="20">
        <f t="shared" si="21"/>
        <v>254454272.1</v>
      </c>
      <c r="F78" s="20">
        <f t="shared" si="21"/>
        <v>424090453.5</v>
      </c>
    </row>
    <row r="79" ht="15.75" customHeight="1">
      <c r="A79" s="4" t="s">
        <v>336</v>
      </c>
      <c r="B79" s="20">
        <f t="shared" ref="B79:F79" si="22">B73-B78-B73*($E$23+$E$26+$E$27)</f>
        <v>703370905.1</v>
      </c>
      <c r="C79" s="20">
        <f t="shared" si="22"/>
        <v>1055056358</v>
      </c>
      <c r="D79" s="20">
        <f t="shared" si="22"/>
        <v>1406741810</v>
      </c>
      <c r="E79" s="20">
        <f t="shared" si="22"/>
        <v>2110112715</v>
      </c>
      <c r="F79" s="20">
        <f t="shared" si="22"/>
        <v>3516854525</v>
      </c>
    </row>
    <row r="80" ht="15.75" customHeight="1"/>
    <row r="81" ht="15.75" customHeight="1">
      <c r="A81" s="35" t="s">
        <v>337</v>
      </c>
      <c r="B81" s="3"/>
      <c r="C81" s="3"/>
      <c r="D81" s="3"/>
      <c r="E81" s="3"/>
      <c r="F81" s="3"/>
    </row>
    <row r="82" ht="15.75" customHeight="1">
      <c r="B82" s="29" t="s">
        <v>338</v>
      </c>
      <c r="C82" s="29" t="s">
        <v>339</v>
      </c>
      <c r="D82" s="29" t="s">
        <v>340</v>
      </c>
      <c r="E82" s="29" t="s">
        <v>341</v>
      </c>
      <c r="F82" s="29" t="s">
        <v>342</v>
      </c>
    </row>
    <row r="83" ht="15.75" customHeight="1">
      <c r="A83" s="4" t="s">
        <v>266</v>
      </c>
      <c r="B83" s="5">
        <v>3.0E7</v>
      </c>
      <c r="C83" s="5">
        <v>5.0E7</v>
      </c>
      <c r="D83" s="5">
        <v>8.0E7</v>
      </c>
      <c r="E83" s="5">
        <v>1.0E8</v>
      </c>
      <c r="F83" s="5">
        <v>1.5E8</v>
      </c>
    </row>
    <row r="84" ht="15.75" customHeight="1">
      <c r="A84" s="4" t="s">
        <v>343</v>
      </c>
      <c r="B84" s="38">
        <v>5.0E8</v>
      </c>
      <c r="C84" s="38">
        <v>5.0E8</v>
      </c>
      <c r="D84" s="38">
        <v>5.0E8</v>
      </c>
      <c r="E84" s="38">
        <v>5.0E8</v>
      </c>
      <c r="F84" s="38">
        <v>5.0E8</v>
      </c>
    </row>
    <row r="85" ht="15.75" customHeight="1">
      <c r="A85" s="4" t="s">
        <v>276</v>
      </c>
      <c r="B85" s="31">
        <f t="shared" ref="B85:F85" si="23">B84/$D$15</f>
        <v>414.6342677</v>
      </c>
      <c r="C85" s="31">
        <f t="shared" si="23"/>
        <v>414.6342677</v>
      </c>
      <c r="D85" s="31">
        <f t="shared" si="23"/>
        <v>414.6342677</v>
      </c>
      <c r="E85" s="31">
        <f t="shared" si="23"/>
        <v>414.6342677</v>
      </c>
      <c r="F85" s="31">
        <f t="shared" si="23"/>
        <v>414.6342677</v>
      </c>
    </row>
    <row r="86" ht="15.75" customHeight="1">
      <c r="A86" s="4" t="s">
        <v>298</v>
      </c>
      <c r="B86" s="20">
        <f t="shared" ref="B86:F86" si="24">ROUNDDOWN(B83/B85,0)</f>
        <v>72352</v>
      </c>
      <c r="C86" s="20">
        <f t="shared" si="24"/>
        <v>120588</v>
      </c>
      <c r="D86" s="20">
        <f t="shared" si="24"/>
        <v>192941</v>
      </c>
      <c r="E86" s="20">
        <f t="shared" si="24"/>
        <v>241176</v>
      </c>
      <c r="F86" s="20">
        <f t="shared" si="24"/>
        <v>361764</v>
      </c>
    </row>
    <row r="87" ht="15.75" customHeight="1">
      <c r="A87" s="4" t="s">
        <v>278</v>
      </c>
      <c r="B87" s="20">
        <f>ROUNDDOWN(($D$15+B86)*'前提'!$B$71/(1-'前提'!$B$71),0)</f>
        <v>91791</v>
      </c>
      <c r="C87" s="20">
        <f>ROUNDDOWN(($D$15+C86)*'前提'!$B$71/(1-'前提'!$B$71),0)</f>
        <v>95255</v>
      </c>
      <c r="D87" s="20">
        <f>ROUNDDOWN(($D$15+D86)*'前提'!$B$71/(1-'前提'!$B$71),0)</f>
        <v>100451</v>
      </c>
      <c r="E87" s="20">
        <f>ROUNDDOWN(($D$15+E86)*'前提'!$B$71/(1-'前提'!$B$71),0)</f>
        <v>103915</v>
      </c>
      <c r="F87" s="20">
        <f>ROUNDDOWN(($D$15+F86)*'前提'!$B$71/(1-'前提'!$B$71),0)</f>
        <v>112574</v>
      </c>
    </row>
    <row r="88" ht="15.75" customHeight="1">
      <c r="A88" s="4" t="s">
        <v>299</v>
      </c>
      <c r="B88" s="23">
        <f t="shared" ref="B88:F88" si="25">$D$15+B86+B87</f>
        <v>1370025</v>
      </c>
      <c r="C88" s="23">
        <f t="shared" si="25"/>
        <v>1421725</v>
      </c>
      <c r="D88" s="23">
        <f t="shared" si="25"/>
        <v>1499274</v>
      </c>
      <c r="E88" s="23">
        <f t="shared" si="25"/>
        <v>1550973</v>
      </c>
      <c r="F88" s="23">
        <f t="shared" si="25"/>
        <v>1680220</v>
      </c>
    </row>
    <row r="89" ht="15.75" customHeight="1"/>
    <row r="90" ht="15.75" customHeight="1">
      <c r="A90" s="12" t="s">
        <v>300</v>
      </c>
      <c r="B90" s="34">
        <f>'前提'!$B$60/B88</f>
        <v>0.7299136877</v>
      </c>
      <c r="C90" s="34">
        <f>'前提'!$B$60/C88</f>
        <v>0.7033709051</v>
      </c>
      <c r="D90" s="34">
        <f>'前提'!$B$60/D88</f>
        <v>0.6669894896</v>
      </c>
      <c r="E90" s="34">
        <f>'前提'!$B$60/E88</f>
        <v>0.6447565496</v>
      </c>
      <c r="F90" s="34">
        <f>'前提'!$B$60/F88</f>
        <v>0.5951601576</v>
      </c>
    </row>
    <row r="91" ht="15.75" customHeight="1">
      <c r="A91" s="4" t="s">
        <v>344</v>
      </c>
      <c r="B91" s="13">
        <f t="shared" ref="B91:F91" si="26">B86/B88</f>
        <v>0.05281071513</v>
      </c>
      <c r="C91" s="13">
        <f t="shared" si="26"/>
        <v>0.0848180907</v>
      </c>
      <c r="D91" s="13">
        <f t="shared" si="26"/>
        <v>0.1286896191</v>
      </c>
      <c r="E91" s="13">
        <f t="shared" si="26"/>
        <v>0.1554998056</v>
      </c>
      <c r="F91" s="13">
        <f t="shared" si="26"/>
        <v>0.2153075193</v>
      </c>
    </row>
    <row r="92" ht="15.75" customHeight="1">
      <c r="A92" s="12" t="s">
        <v>345</v>
      </c>
      <c r="B92" s="37">
        <f t="shared" ref="B92:F92" si="27">IF(B83&gt;0,2000000000*B91/B83,0)</f>
        <v>3.520714342</v>
      </c>
      <c r="C92" s="37">
        <f t="shared" si="27"/>
        <v>3.392723628</v>
      </c>
      <c r="D92" s="37">
        <f t="shared" si="27"/>
        <v>3.217240478</v>
      </c>
      <c r="E92" s="37">
        <f t="shared" si="27"/>
        <v>3.109996112</v>
      </c>
      <c r="F92" s="37">
        <f t="shared" si="27"/>
        <v>2.870766923</v>
      </c>
    </row>
    <row r="93" ht="15.75" customHeight="1">
      <c r="A93" s="4" t="s">
        <v>346</v>
      </c>
      <c r="B93" s="39">
        <f t="shared" ref="B93:F93" si="28">IF(B83&gt;0,3000000000*B91/B83,0)</f>
        <v>5.281071513</v>
      </c>
      <c r="C93" s="39">
        <f t="shared" si="28"/>
        <v>5.089085442</v>
      </c>
      <c r="D93" s="39">
        <f t="shared" si="28"/>
        <v>4.825860717</v>
      </c>
      <c r="E93" s="39">
        <f t="shared" si="28"/>
        <v>4.664994168</v>
      </c>
      <c r="F93" s="39">
        <f t="shared" si="28"/>
        <v>4.306150385</v>
      </c>
    </row>
    <row r="94" ht="15.75" customHeight="1"/>
    <row r="95" ht="15.75" customHeight="1">
      <c r="A95" s="12" t="s">
        <v>319</v>
      </c>
    </row>
    <row r="96" ht="15.75" customHeight="1">
      <c r="A96" s="6" t="s">
        <v>347</v>
      </c>
    </row>
    <row r="97" ht="15.75" customHeight="1">
      <c r="A97" s="6" t="s">
        <v>348</v>
      </c>
    </row>
    <row r="98" ht="15.75" customHeight="1">
      <c r="A98" s="6" t="s">
        <v>349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5.0"/>
    <col customWidth="1" min="4" max="4" width="40.0"/>
    <col customWidth="1" min="5" max="26" width="8.71"/>
  </cols>
  <sheetData>
    <row r="1">
      <c r="A1" s="1" t="s">
        <v>350</v>
      </c>
    </row>
    <row r="2">
      <c r="A2" s="4" t="s">
        <v>351</v>
      </c>
      <c r="B2" s="19" t="str">
        <f>'前提'!B63+'前提'!B64+#REF!+'前提'!B66+'前提'!B68</f>
        <v>#REF!</v>
      </c>
      <c r="C2" s="6" t="s">
        <v>352</v>
      </c>
    </row>
    <row r="4">
      <c r="A4" s="2" t="s">
        <v>353</v>
      </c>
      <c r="B4" s="3"/>
      <c r="C4" s="3"/>
      <c r="D4" s="3"/>
    </row>
    <row r="5">
      <c r="A5" s="29" t="s">
        <v>354</v>
      </c>
      <c r="B5" s="29" t="s">
        <v>355</v>
      </c>
      <c r="C5" s="29" t="s">
        <v>356</v>
      </c>
      <c r="D5" s="29" t="s">
        <v>357</v>
      </c>
    </row>
    <row r="6">
      <c r="A6" s="4" t="s">
        <v>358</v>
      </c>
      <c r="B6" s="19">
        <f>'前提'!B21</f>
        <v>700000</v>
      </c>
      <c r="C6" s="20">
        <f t="shared" ref="C6:C8" si="1">B6*12</f>
        <v>8400000</v>
      </c>
      <c r="D6" s="9" t="s">
        <v>359</v>
      </c>
    </row>
    <row r="7">
      <c r="A7" s="4" t="s">
        <v>25</v>
      </c>
      <c r="B7" s="19">
        <f>'前提'!B22</f>
        <v>200000</v>
      </c>
      <c r="C7" s="20">
        <f t="shared" si="1"/>
        <v>2400000</v>
      </c>
      <c r="D7" s="6" t="s">
        <v>26</v>
      </c>
    </row>
    <row r="8">
      <c r="A8" s="4" t="s">
        <v>360</v>
      </c>
      <c r="B8" s="19">
        <f>'前提'!B20</f>
        <v>350000</v>
      </c>
      <c r="C8" s="20">
        <f t="shared" si="1"/>
        <v>4200000</v>
      </c>
      <c r="D8" s="6" t="s">
        <v>361</v>
      </c>
    </row>
    <row r="9">
      <c r="A9" s="4" t="s">
        <v>362</v>
      </c>
      <c r="B9" s="19">
        <f>'前提'!B23</f>
        <v>400000</v>
      </c>
      <c r="C9" s="20">
        <f>B9*6</f>
        <v>2400000</v>
      </c>
      <c r="D9" s="6" t="s">
        <v>363</v>
      </c>
    </row>
    <row r="10">
      <c r="A10" s="4" t="s">
        <v>364</v>
      </c>
      <c r="B10" s="19">
        <f>AVERAGE('月次事業計画'!B9:'月次事業計画'!M9)</f>
        <v>400000</v>
      </c>
      <c r="C10" s="20">
        <f t="shared" ref="C10:C12" si="2">B10*12</f>
        <v>4800000</v>
      </c>
      <c r="D10" s="6" t="s">
        <v>365</v>
      </c>
    </row>
    <row r="11">
      <c r="A11" s="4" t="s">
        <v>31</v>
      </c>
      <c r="B11" s="19">
        <f>'前提'!B25</f>
        <v>100000</v>
      </c>
      <c r="C11" s="20">
        <f t="shared" si="2"/>
        <v>1200000</v>
      </c>
      <c r="D11" s="6" t="s">
        <v>366</v>
      </c>
    </row>
    <row r="12">
      <c r="A12" s="4" t="s">
        <v>33</v>
      </c>
      <c r="B12" s="19">
        <f>'前提'!B26</f>
        <v>50000</v>
      </c>
      <c r="C12" s="20">
        <f t="shared" si="2"/>
        <v>600000</v>
      </c>
      <c r="D12" s="6" t="s">
        <v>34</v>
      </c>
    </row>
    <row r="13">
      <c r="A13" s="4" t="s">
        <v>367</v>
      </c>
      <c r="B13" s="40" t="s">
        <v>265</v>
      </c>
      <c r="C13" s="22">
        <v>400000.0</v>
      </c>
      <c r="D13" s="6" t="s">
        <v>368</v>
      </c>
    </row>
    <row r="14">
      <c r="A14" s="12" t="s">
        <v>369</v>
      </c>
      <c r="B14" s="40">
        <f t="shared" ref="B14:C14" si="3">SUM(B6:B13)</f>
        <v>2200000</v>
      </c>
      <c r="C14" s="40">
        <f t="shared" si="3"/>
        <v>24400000</v>
      </c>
    </row>
    <row r="16">
      <c r="A16" s="2" t="s">
        <v>370</v>
      </c>
      <c r="B16" s="3"/>
      <c r="C16" s="3"/>
      <c r="D16" s="3"/>
    </row>
    <row r="17">
      <c r="A17" s="4" t="s">
        <v>371</v>
      </c>
      <c r="B17" s="40">
        <f>AVERAGE('月次事業計画'!B42:'月次事業計画'!G42)</f>
        <v>1266000</v>
      </c>
      <c r="C17" s="6" t="s">
        <v>372</v>
      </c>
    </row>
    <row r="18">
      <c r="A18" s="4" t="s">
        <v>373</v>
      </c>
      <c r="B18" s="40">
        <f>AVERAGE('月次事業計画'!H42:'月次事業計画'!M42)</f>
        <v>2247000</v>
      </c>
      <c r="C18" s="6" t="s">
        <v>374</v>
      </c>
    </row>
    <row r="19">
      <c r="A19" s="4" t="s">
        <v>375</v>
      </c>
      <c r="B19" s="40">
        <f>AVERAGE('月次事業計画'!B63:'月次事業計画'!M63)</f>
        <v>1756500</v>
      </c>
      <c r="C19" s="6" t="s">
        <v>376</v>
      </c>
    </row>
    <row r="21" ht="15.75" customHeight="1">
      <c r="A21" s="4" t="s">
        <v>377</v>
      </c>
      <c r="B21" s="40" t="str">
        <f>'前提'!$B$63+'前提'!$B$64+#REF!+'前提'!$B$66+'前提'!$B$68</f>
        <v>#REF!</v>
      </c>
    </row>
    <row r="22" ht="15.75" customHeight="1">
      <c r="A22" s="4" t="s">
        <v>378</v>
      </c>
      <c r="B22" s="41" t="str">
        <f>IF(B19&gt;0,B21/B19,"")</f>
        <v>#REF!</v>
      </c>
      <c r="C22" s="6" t="s">
        <v>379</v>
      </c>
    </row>
    <row r="23" ht="15.75" customHeight="1">
      <c r="A23" s="4" t="s">
        <v>380</v>
      </c>
      <c r="B23" s="40" t="str">
        <f>'月次事業計画'!M67</f>
        <v>#REF!</v>
      </c>
    </row>
    <row r="24" ht="15.75" customHeight="1">
      <c r="A24" s="4" t="s">
        <v>381</v>
      </c>
      <c r="B24" s="40" t="str">
        <f>'月次事業計画'!Y67</f>
        <v>#REF!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