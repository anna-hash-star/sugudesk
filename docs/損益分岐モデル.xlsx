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" sheetId="1" state="visible" r:id="rId1"/>
    <sheet name="損益分岐" sheetId="2" state="visible" r:id="rId2"/>
    <sheet name="シナリ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円&quot;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808080"/>
      <sz val="9"/>
    </font>
    <font>
      <b val="1"/>
      <color rgb="00FFFFFF"/>
    </font>
    <font>
      <i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2F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2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164" fontId="2" fillId="0" borderId="0" pivotButton="0" quotePrefix="0" xfId="0"/>
    <xf numFmtId="0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SuguDesk 損益分岐モデル — 前提（ここだけ編集すれば全シート連動）</t>
        </is>
      </c>
    </row>
    <row r="3">
      <c r="A3" s="2" t="inlineStr">
        <is>
          <t>■ 固定費（月額）</t>
        </is>
      </c>
    </row>
    <row r="4">
      <c r="A4" t="inlineStr">
        <is>
          <t>CEO報酬</t>
        </is>
      </c>
      <c r="B4" s="3" t="n">
        <v>300000</v>
      </c>
      <c r="C4" s="4" t="inlineStr">
        <is>
          <t>※役員報酬を抑えるならここを下げる</t>
        </is>
      </c>
    </row>
    <row r="5">
      <c r="A5" t="inlineStr">
        <is>
          <t>エンジニア（定常見込み）</t>
        </is>
      </c>
      <c r="B5" s="3" t="n">
        <v>400000</v>
      </c>
      <c r="C5" s="4" t="inlineStr">
        <is>
          <t>※先月は190h=約95万の例外。定常の見込み額を入力</t>
        </is>
      </c>
    </row>
    <row r="6">
      <c r="A6" t="inlineStr">
        <is>
          <t>インフラ・ツール（GCP/SaaS）</t>
        </is>
      </c>
      <c r="B6" s="3" t="n">
        <v>80000</v>
      </c>
      <c r="C6" s="4" t="inlineStr"/>
    </row>
    <row r="7">
      <c r="A7" t="inlineStr">
        <is>
          <t>その他固定費（法務・会計・雑費）</t>
        </is>
      </c>
      <c r="B7" s="3" t="n">
        <v>50000</v>
      </c>
      <c r="C7" s="4" t="inlineStr"/>
    </row>
    <row r="8">
      <c r="A8" t="inlineStr">
        <is>
          <t>営業/GTM（マーケ・交通費）</t>
        </is>
      </c>
      <c r="B8" s="3" t="n">
        <v>100000</v>
      </c>
      <c r="C8" s="4" t="inlineStr"/>
    </row>
    <row r="9">
      <c r="A9" t="inlineStr">
        <is>
          <t>オンボ/CS委託（任意・治療期の保険）</t>
        </is>
      </c>
      <c r="B9" s="3" t="n">
        <v>0</v>
      </c>
      <c r="C9" s="4" t="inlineStr">
        <is>
          <t>※入れるなら250000目安</t>
        </is>
      </c>
    </row>
    <row r="10">
      <c r="A10" s="5" t="inlineStr">
        <is>
          <t>固定費合計</t>
        </is>
      </c>
      <c r="B10" s="6">
        <f>SUM(B4:B9)</f>
        <v/>
      </c>
    </row>
    <row r="12">
      <c r="A12" s="2" t="inlineStr">
        <is>
          <t>■ 共通前提</t>
        </is>
      </c>
    </row>
    <row r="13">
      <c r="A13" t="inlineStr">
        <is>
          <t>メンテ時給</t>
        </is>
      </c>
      <c r="B13" s="3" t="n">
        <v>1200</v>
      </c>
      <c r="C13" s="4" t="inlineStr">
        <is>
          <t>※構築/メンテを外注 or 按分する時の単価</t>
        </is>
      </c>
    </row>
    <row r="15">
      <c r="A15" s="2" t="inlineStr">
        <is>
          <t>■ 商材別ユニットエコノミクス（月次・1件あたり）</t>
        </is>
      </c>
    </row>
    <row r="16">
      <c r="A16" s="7" t="inlineStr">
        <is>
          <t>商材</t>
        </is>
      </c>
      <c r="B16" s="7" t="inlineStr">
        <is>
          <t>月額売上</t>
        </is>
      </c>
      <c r="C16" s="7" t="inlineStr">
        <is>
          <t>メンテ時間/月(h)</t>
        </is>
      </c>
      <c r="D16" s="7" t="inlineStr">
        <is>
          <t>API変動費/月</t>
        </is>
      </c>
      <c r="E16" s="7" t="inlineStr">
        <is>
          <t>担当者月給</t>
        </is>
      </c>
      <c r="F16" s="7" t="inlineStr">
        <is>
          <t>1人の担当件数</t>
        </is>
      </c>
      <c r="G16" s="7" t="inlineStr">
        <is>
          <t>人件費按分/件</t>
        </is>
      </c>
      <c r="H16" s="7" t="inlineStr">
        <is>
          <t>限界利益/件・月</t>
        </is>
      </c>
    </row>
    <row r="17">
      <c r="A17" s="8" t="inlineStr">
        <is>
          <t>SaaSライト（GIMIC ¥4,000）</t>
        </is>
      </c>
      <c r="B17" s="9" t="n">
        <v>4000</v>
      </c>
      <c r="C17" s="8" t="n">
        <v>2</v>
      </c>
      <c r="D17" s="9" t="n">
        <v>1000</v>
      </c>
      <c r="E17" s="9" t="n">
        <v>0</v>
      </c>
      <c r="F17" s="8" t="n">
        <v>0</v>
      </c>
      <c r="G17" s="9">
        <f>IF(F17=0,0,E17/F17)</f>
        <v/>
      </c>
      <c r="H17" s="10">
        <f>B17-C17*$B$13-D17-G17</f>
        <v/>
      </c>
    </row>
    <row r="18">
      <c r="A18" s="8" t="inlineStr">
        <is>
          <t>SaaSライト（直販 ¥8,000）</t>
        </is>
      </c>
      <c r="B18" s="9" t="n">
        <v>8000</v>
      </c>
      <c r="C18" s="8" t="n">
        <v>2.5</v>
      </c>
      <c r="D18" s="9" t="n">
        <v>2000</v>
      </c>
      <c r="E18" s="9" t="n">
        <v>0</v>
      </c>
      <c r="F18" s="8" t="n">
        <v>0</v>
      </c>
      <c r="G18" s="9">
        <f>IF(F18=0,0,E18/F18)</f>
        <v/>
      </c>
      <c r="H18" s="10">
        <f>B18-C18*$B$13-D18-G18</f>
        <v/>
      </c>
    </row>
    <row r="19">
      <c r="A19" s="8" t="inlineStr">
        <is>
          <t>SaaSスタンダード（¥15,000）</t>
        </is>
      </c>
      <c r="B19" s="9" t="n">
        <v>15000</v>
      </c>
      <c r="C19" s="8" t="n">
        <v>4.5</v>
      </c>
      <c r="D19" s="9" t="n">
        <v>2000</v>
      </c>
      <c r="E19" s="9" t="n">
        <v>0</v>
      </c>
      <c r="F19" s="8" t="n">
        <v>0</v>
      </c>
      <c r="G19" s="9">
        <f>IF(F19=0,0,E19/F19)</f>
        <v/>
      </c>
      <c r="H19" s="10">
        <f>B19-C19*$B$13-D19-G19</f>
        <v/>
      </c>
    </row>
    <row r="20">
      <c r="A20" s="8" t="inlineStr">
        <is>
          <t>SaaSプレミアム（¥25,000/2院）</t>
        </is>
      </c>
      <c r="B20" s="9" t="n">
        <v>25000</v>
      </c>
      <c r="C20" s="8" t="n">
        <v>8</v>
      </c>
      <c r="D20" s="9" t="n">
        <v>4000</v>
      </c>
      <c r="E20" s="9" t="n">
        <v>0</v>
      </c>
      <c r="F20" s="8" t="n">
        <v>0</v>
      </c>
      <c r="G20" s="9">
        <f>IF(F20=0,0,E20/F20)</f>
        <v/>
      </c>
      <c r="H20" s="10">
        <f>B20-C20*$B$13-D20-G20</f>
        <v/>
      </c>
    </row>
    <row r="21">
      <c r="A21" s="8" t="inlineStr">
        <is>
          <t>BPO 事務長代行（¥150,000）</t>
        </is>
      </c>
      <c r="B21" s="9" t="n">
        <v>150000</v>
      </c>
      <c r="C21" s="8" t="n">
        <v>0</v>
      </c>
      <c r="D21" s="9" t="n">
        <v>0</v>
      </c>
      <c r="E21" s="9" t="n">
        <v>250000</v>
      </c>
      <c r="F21" s="8" t="n">
        <v>3</v>
      </c>
      <c r="G21" s="9">
        <f>IF(F21=0,0,E21/F21)</f>
        <v/>
      </c>
      <c r="H21" s="10">
        <f>B21-C21*$B$13-D21-G21</f>
        <v/>
      </c>
    </row>
    <row r="22">
      <c r="A22" s="8" t="inlineStr">
        <is>
          <t>BPO 採用/集患（¥50,000）</t>
        </is>
      </c>
      <c r="B22" s="9" t="n">
        <v>50000</v>
      </c>
      <c r="C22" s="8" t="n">
        <v>0</v>
      </c>
      <c r="D22" s="9" t="n">
        <v>0</v>
      </c>
      <c r="E22" s="9" t="n">
        <v>150000</v>
      </c>
      <c r="F22" s="8" t="n">
        <v>5</v>
      </c>
      <c r="G22" s="9">
        <f>IF(F22=0,0,E22/F22)</f>
        <v/>
      </c>
      <c r="H22" s="10">
        <f>B22-C22*$B$13-D22-G22</f>
        <v/>
      </c>
    </row>
    <row r="24">
      <c r="A24" s="2" t="inlineStr">
        <is>
          <t>■ 一時金（参考：黒字化＝月次の話だが、キャッシュには効く）</t>
        </is>
      </c>
    </row>
    <row r="25">
      <c r="A25" t="inlineStr">
        <is>
          <t>SaaSライト 導入費</t>
        </is>
      </c>
      <c r="B25" s="3" t="n">
        <v>150000</v>
      </c>
      <c r="C25" s="4" t="inlineStr">
        <is>
          <t>※GIMIC経由は有償オンボ。台数×導入費が初期キャッシュを支える</t>
        </is>
      </c>
    </row>
    <row r="26">
      <c r="A26" t="inlineStr">
        <is>
          <t>SaaSスタンダード 導入費</t>
        </is>
      </c>
      <c r="B26" s="3" t="n">
        <v>300000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損益分岐：何件で黒字化するか</t>
        </is>
      </c>
    </row>
    <row r="3">
      <c r="A3" s="5" t="inlineStr">
        <is>
          <t>固定費合計（月）</t>
        </is>
      </c>
      <c r="B3" s="11">
        <f>前提!B10</f>
        <v/>
      </c>
    </row>
    <row r="5">
      <c r="A5" s="2" t="inlineStr">
        <is>
          <t>① 各商材を単独で売った場合の黒字化必要件数</t>
        </is>
      </c>
    </row>
    <row r="6">
      <c r="A6" s="7" t="inlineStr">
        <is>
          <t>商材</t>
        </is>
      </c>
      <c r="B6" s="7" t="inlineStr">
        <is>
          <t>限界利益/件・月</t>
        </is>
      </c>
      <c r="C6" s="7" t="inlineStr">
        <is>
          <t>単独で黒字化に必要な件数</t>
        </is>
      </c>
    </row>
    <row r="7">
      <c r="A7" s="8">
        <f>前提!A17</f>
        <v/>
      </c>
      <c r="B7" s="9">
        <f>前提!H17</f>
        <v/>
      </c>
      <c r="C7" s="8">
        <f>IF(B7&lt;=0,"不可（赤字）",ROUNDUP($B$3/B7,0)&amp;"件")</f>
        <v/>
      </c>
    </row>
    <row r="8">
      <c r="A8" s="8">
        <f>前提!A18</f>
        <v/>
      </c>
      <c r="B8" s="9">
        <f>前提!H18</f>
        <v/>
      </c>
      <c r="C8" s="8">
        <f>IF(B8&lt;=0,"不可（赤字）",ROUNDUP($B$3/B8,0)&amp;"件")</f>
        <v/>
      </c>
    </row>
    <row r="9">
      <c r="A9" s="8">
        <f>前提!A19</f>
        <v/>
      </c>
      <c r="B9" s="9">
        <f>前提!H19</f>
        <v/>
      </c>
      <c r="C9" s="8">
        <f>IF(B9&lt;=0,"不可（赤字）",ROUNDUP($B$3/B9,0)&amp;"件")</f>
        <v/>
      </c>
    </row>
    <row r="10">
      <c r="A10" s="8">
        <f>前提!A20</f>
        <v/>
      </c>
      <c r="B10" s="9">
        <f>前提!H20</f>
        <v/>
      </c>
      <c r="C10" s="8">
        <f>IF(B10&lt;=0,"不可（赤字）",ROUNDUP($B$3/B10,0)&amp;"件")</f>
        <v/>
      </c>
    </row>
    <row r="11">
      <c r="A11" s="8">
        <f>前提!A21</f>
        <v/>
      </c>
      <c r="B11" s="9">
        <f>前提!H21</f>
        <v/>
      </c>
      <c r="C11" s="8">
        <f>IF(B11&lt;=0,"不可（赤字）",ROUNDUP($B$3/B11,0)&amp;"件")</f>
        <v/>
      </c>
    </row>
    <row r="12">
      <c r="A12" s="8">
        <f>前提!A22</f>
        <v/>
      </c>
      <c r="B12" s="9">
        <f>前提!H22</f>
        <v/>
      </c>
      <c r="C12" s="8">
        <f>IF(B12&lt;=0,"不可（赤字）",ROUNDUP($B$3/B12,0)&amp;"件")</f>
        <v/>
      </c>
    </row>
    <row r="14">
      <c r="A14" s="2" t="inlineStr">
        <is>
          <t>② 今の（or 想定の）組み合わせで損益を見る　← 件数を入力</t>
        </is>
      </c>
    </row>
    <row r="15">
      <c r="A15" s="7" t="inlineStr">
        <is>
          <t>商材</t>
        </is>
      </c>
      <c r="B15" s="7" t="inlineStr">
        <is>
          <t>限界利益/件</t>
        </is>
      </c>
      <c r="C15" s="7" t="inlineStr">
        <is>
          <t>件数（入力）</t>
        </is>
      </c>
      <c r="D15" s="7" t="inlineStr">
        <is>
          <t>限界利益 合計</t>
        </is>
      </c>
    </row>
    <row r="16">
      <c r="A16" s="8">
        <f>前提!A17</f>
        <v/>
      </c>
      <c r="B16" s="9">
        <f>前提!H17</f>
        <v/>
      </c>
      <c r="C16" s="12" t="n">
        <v>3</v>
      </c>
      <c r="D16" s="9">
        <f>B16*C16</f>
        <v/>
      </c>
    </row>
    <row r="17">
      <c r="A17" s="8">
        <f>前提!A18</f>
        <v/>
      </c>
      <c r="B17" s="9">
        <f>前提!H18</f>
        <v/>
      </c>
      <c r="C17" s="12" t="n">
        <v>0</v>
      </c>
      <c r="D17" s="9">
        <f>B17*C17</f>
        <v/>
      </c>
    </row>
    <row r="18">
      <c r="A18" s="8">
        <f>前提!A19</f>
        <v/>
      </c>
      <c r="B18" s="9">
        <f>前提!H19</f>
        <v/>
      </c>
      <c r="C18" s="12" t="n">
        <v>2</v>
      </c>
      <c r="D18" s="9">
        <f>B18*C18</f>
        <v/>
      </c>
    </row>
    <row r="19">
      <c r="A19" s="8">
        <f>前提!A20</f>
        <v/>
      </c>
      <c r="B19" s="9">
        <f>前提!H20</f>
        <v/>
      </c>
      <c r="C19" s="12" t="n">
        <v>0</v>
      </c>
      <c r="D19" s="9">
        <f>B19*C19</f>
        <v/>
      </c>
    </row>
    <row r="20">
      <c r="A20" s="8">
        <f>前提!A21</f>
        <v/>
      </c>
      <c r="B20" s="9">
        <f>前提!H21</f>
        <v/>
      </c>
      <c r="C20" s="12" t="n">
        <v>0</v>
      </c>
      <c r="D20" s="9">
        <f>B20*C20</f>
        <v/>
      </c>
    </row>
    <row r="21">
      <c r="A21" s="8">
        <f>前提!A22</f>
        <v/>
      </c>
      <c r="B21" s="9">
        <f>前提!H22</f>
        <v/>
      </c>
      <c r="C21" s="12" t="n">
        <v>1</v>
      </c>
      <c r="D21" s="9">
        <f>B21*C21</f>
        <v/>
      </c>
    </row>
    <row r="22">
      <c r="A22" s="5" t="inlineStr">
        <is>
          <t>限界利益 合計</t>
        </is>
      </c>
      <c r="D22" s="11">
        <f>SUM(D16:D21)</f>
        <v/>
      </c>
    </row>
    <row r="23">
      <c r="A23" t="inlineStr">
        <is>
          <t>− 固定費</t>
        </is>
      </c>
      <c r="D23" s="3">
        <f>-B3</f>
        <v/>
      </c>
    </row>
    <row r="24">
      <c r="A24" s="5" t="inlineStr">
        <is>
          <t>営業損益（月）</t>
        </is>
      </c>
      <c r="D24" s="11">
        <f>D22-B3</f>
        <v/>
      </c>
    </row>
    <row r="25">
      <c r="A25" s="5" t="inlineStr">
        <is>
          <t>判定</t>
        </is>
      </c>
      <c r="D25" s="5">
        <f>IF(D24&gt;=0,"黒字 ✅","赤字（あと "&amp;TEXT(-D24,"#,##0")&amp;"円/月）")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シナリオ比較：SaaS中心 vs BPO寄せ vs 黒字化ライン</t>
        </is>
      </c>
    </row>
    <row r="2">
      <c r="A2" s="4" t="inlineStr">
        <is>
          <t>※各シナリオの件数（黄色）を変えて試す</t>
        </is>
      </c>
    </row>
    <row r="4">
      <c r="A4" s="7" t="inlineStr">
        <is>
          <t>商材</t>
        </is>
      </c>
      <c r="B4" s="7" t="inlineStr">
        <is>
          <t>限界利益/件</t>
        </is>
      </c>
      <c r="C4" s="7" t="inlineStr">
        <is>
          <t>S1: SaaS中心</t>
        </is>
      </c>
      <c r="D4" s="7" t="inlineStr">
        <is>
          <t>S2: BPO寄せ</t>
        </is>
      </c>
      <c r="E4" s="7" t="inlineStr">
        <is>
          <t>S3: 黒字化ライン</t>
        </is>
      </c>
    </row>
    <row r="5">
      <c r="A5" s="8">
        <f>前提!A17</f>
        <v/>
      </c>
      <c r="B5" s="9">
        <f>前提!H17</f>
        <v/>
      </c>
      <c r="C5" s="13" t="n">
        <v>50</v>
      </c>
      <c r="D5" s="13" t="n">
        <v>30</v>
      </c>
      <c r="E5" s="13" t="n">
        <v>50</v>
      </c>
    </row>
    <row r="6">
      <c r="A6" s="8">
        <f>前提!A18</f>
        <v/>
      </c>
      <c r="B6" s="9">
        <f>前提!H18</f>
        <v/>
      </c>
      <c r="C6" s="13" t="n">
        <v>5</v>
      </c>
      <c r="D6" s="13" t="n">
        <v>2</v>
      </c>
      <c r="E6" s="13" t="n">
        <v>3</v>
      </c>
    </row>
    <row r="7">
      <c r="A7" s="8">
        <f>前提!A19</f>
        <v/>
      </c>
      <c r="B7" s="9">
        <f>前提!H19</f>
        <v/>
      </c>
      <c r="C7" s="13" t="n">
        <v>8</v>
      </c>
      <c r="D7" s="13" t="n">
        <v>5</v>
      </c>
      <c r="E7" s="13" t="n">
        <v>8</v>
      </c>
    </row>
    <row r="8">
      <c r="A8" s="8">
        <f>前提!A20</f>
        <v/>
      </c>
      <c r="B8" s="9">
        <f>前提!H20</f>
        <v/>
      </c>
      <c r="C8" s="13" t="n">
        <v>1</v>
      </c>
      <c r="D8" s="13" t="n">
        <v>1</v>
      </c>
      <c r="E8" s="13" t="n">
        <v>1</v>
      </c>
    </row>
    <row r="9">
      <c r="A9" s="8">
        <f>前提!A21</f>
        <v/>
      </c>
      <c r="B9" s="9">
        <f>前提!H21</f>
        <v/>
      </c>
      <c r="C9" s="13" t="n">
        <v>1</v>
      </c>
      <c r="D9" s="13" t="n">
        <v>8</v>
      </c>
      <c r="E9" s="13" t="n">
        <v>12</v>
      </c>
    </row>
    <row r="10">
      <c r="A10" s="8">
        <f>前提!A22</f>
        <v/>
      </c>
      <c r="B10" s="9">
        <f>前提!H22</f>
        <v/>
      </c>
      <c r="C10" s="13" t="n">
        <v>1</v>
      </c>
      <c r="D10" s="13" t="n">
        <v>10</v>
      </c>
      <c r="E10" s="13" t="n">
        <v>10</v>
      </c>
    </row>
    <row r="11">
      <c r="A11" s="5" t="inlineStr">
        <is>
          <t>限界利益 合計/月</t>
        </is>
      </c>
      <c r="C11" s="11">
        <f>SUMPRODUCT($B5:$B10,C5:C10)</f>
        <v/>
      </c>
      <c r="D11" s="11">
        <f>SUMPRODUCT($B5:$B10,D5:D10)</f>
        <v/>
      </c>
      <c r="E11" s="11">
        <f>SUMPRODUCT($B5:$B10,E5:E10)</f>
        <v/>
      </c>
    </row>
    <row r="12">
      <c r="A12" t="inlineStr">
        <is>
          <t>− 固定費/月</t>
        </is>
      </c>
      <c r="C12" s="3">
        <f>-前提!B10</f>
        <v/>
      </c>
      <c r="D12" s="3">
        <f>-前提!B10</f>
        <v/>
      </c>
      <c r="E12" s="3">
        <f>-前提!B10</f>
        <v/>
      </c>
    </row>
    <row r="13">
      <c r="A13" s="5" t="inlineStr">
        <is>
          <t>営業損益/月</t>
        </is>
      </c>
      <c r="C13" s="11">
        <f>C11-前提!B10</f>
        <v/>
      </c>
      <c r="D13" s="11">
        <f>D11-前提!B10</f>
        <v/>
      </c>
      <c r="E13" s="11">
        <f>E11-前提!B10</f>
        <v/>
      </c>
    </row>
    <row r="14">
      <c r="A14" s="5" t="inlineStr">
        <is>
          <t>判定</t>
        </is>
      </c>
      <c r="C14" s="14">
        <f>IF(C13&gt;=0,"黒字 ✅","赤字")</f>
        <v/>
      </c>
      <c r="D14" s="14">
        <f>IF(D13&gt;=0,"黒字 ✅","赤字")</f>
        <v/>
      </c>
      <c r="E14" s="14">
        <f>IF(E13&gt;=0,"黒字 ✅","赤字")</f>
        <v/>
      </c>
    </row>
    <row r="16">
      <c r="A16" s="15" t="inlineStr">
        <is>
          <t>読み筋：S1=GIMICで50件積んでもSaaSだけでは赤字。S3=事務長代行12件+採用10件で黒字化。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2026-06-06T08:35:57Z</dcterms:created>
  <dcterms:modified xsi:type="dcterms:W3CDTF">2026-06-06T08:35:57Z</dcterms:modified>
</cp:coreProperties>
</file>