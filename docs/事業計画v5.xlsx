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" sheetId="1" state="visible" r:id="rId1"/>
    <sheet name="月次事業計画" sheetId="2" state="visible" r:id="rId2"/>
    <sheet name="年次事業計画" sheetId="3" state="visible" r:id="rId3"/>
    <sheet name="資本政策表" sheetId="4" state="visible" r:id="rId4"/>
    <sheet name="資金使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  <font>
      <b val="1"/>
      <color rgb="00FFFFFF"/>
      <sz val="11"/>
    </font>
    <font>
      <b val="1"/>
      <sz val="10"/>
    </font>
    <font>
      <b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3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7" fillId="0" borderId="0" pivotButton="0" quotePrefix="0" xfId="0"/>
    <xf numFmtId="0" fontId="2" fillId="5" borderId="0" pivotButton="0" quotePrefix="0" xfId="0"/>
    <xf numFmtId="165" fontId="0" fillId="5" borderId="0" pivotButton="0" quotePrefix="0" xfId="0"/>
    <xf numFmtId="0" fontId="7" fillId="3" borderId="0" pivotButton="0" quotePrefix="0" xfId="0"/>
    <xf numFmtId="3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40" customWidth="1" min="4" max="4"/>
  </cols>
  <sheetData>
    <row r="1">
      <c r="A1" s="1" t="inlineStr">
        <is>
          <t>SuguDesk 事業計画v5 前提条件</t>
        </is>
      </c>
    </row>
    <row r="3">
      <c r="A3" s="2" t="inlineStr">
        <is>
          <t>【価格前提】</t>
        </is>
      </c>
      <c r="B3" s="3" t="n"/>
      <c r="C3" s="3" t="n"/>
      <c r="D3" s="3" t="n"/>
    </row>
    <row r="4">
      <c r="A4" s="4" t="inlineStr">
        <is>
          <t>SuguDesk ARPA（月額）</t>
        </is>
      </c>
      <c r="B4" s="5" t="n">
        <v>11500</v>
      </c>
      <c r="D4" t="inlineStr">
        <is>
          <t>ライト/スタンダード平均</t>
        </is>
      </c>
    </row>
    <row r="5">
      <c r="A5" s="4" t="inlineStr">
        <is>
          <t>SuguDesk 導入費（初期）</t>
        </is>
      </c>
      <c r="B5" s="5" t="n">
        <v>225000</v>
      </c>
      <c r="D5" t="inlineStr">
        <is>
          <t>1院あたり平均</t>
        </is>
      </c>
    </row>
    <row r="6">
      <c r="A6" s="4" t="inlineStr">
        <is>
          <t>BPO事務長代行 ARPA（月額）</t>
        </is>
      </c>
      <c r="B6" s="5" t="n">
        <v>150000</v>
      </c>
      <c r="D6" t="inlineStr">
        <is>
          <t>算定業務＋事務長代行</t>
        </is>
      </c>
    </row>
    <row r="7">
      <c r="A7" s="4" t="inlineStr">
        <is>
          <t>BPO採用/集患 ARPA（月額）</t>
        </is>
      </c>
      <c r="B7" s="5" t="n">
        <v>50000</v>
      </c>
      <c r="D7" t="inlineStr">
        <is>
          <t>BPO#2、M13以降</t>
        </is>
      </c>
    </row>
    <row r="8">
      <c r="A8" s="4" t="inlineStr">
        <is>
          <t>SuguDeskチャーン率（月次）</t>
        </is>
      </c>
      <c r="B8" s="6" t="n">
        <v>0.02</v>
      </c>
    </row>
    <row r="9">
      <c r="A9" s="4" t="inlineStr">
        <is>
          <t>BPOチャーン率（月次）</t>
        </is>
      </c>
      <c r="B9" s="6" t="n">
        <v>0.01</v>
      </c>
      <c r="D9" t="inlineStr">
        <is>
          <t>粘着性高い</t>
        </is>
      </c>
    </row>
    <row r="11">
      <c r="A11" s="2" t="inlineStr">
        <is>
          <t>【売上計上前提】</t>
        </is>
      </c>
      <c r="B11" s="3" t="n"/>
      <c r="C11" s="3" t="n"/>
      <c r="D11" s="3" t="n"/>
    </row>
    <row r="12">
      <c r="A12" s="4" t="inlineStr">
        <is>
          <t>新規契約 月内係数</t>
        </is>
      </c>
      <c r="B12" s="7" t="n">
        <v>0.5</v>
      </c>
      <c r="D12" t="inlineStr">
        <is>
          <t>期中入金想定で半月分計上</t>
        </is>
      </c>
    </row>
    <row r="13">
      <c r="A13" s="4" t="inlineStr">
        <is>
          <t>導入費 計上係数</t>
        </is>
      </c>
      <c r="B13" s="7" t="n">
        <v>1</v>
      </c>
      <c r="D13" t="inlineStr">
        <is>
          <t>契約月に全額</t>
        </is>
      </c>
    </row>
    <row r="15">
      <c r="A15" s="2" t="inlineStr">
        <is>
          <t>【SuguDesk直接原価（変動費）】</t>
        </is>
      </c>
      <c r="B15" s="3" t="n"/>
      <c r="C15" s="3" t="n"/>
      <c r="D15" s="3" t="n"/>
    </row>
    <row r="16">
      <c r="A16" s="4" t="inlineStr">
        <is>
          <t>FAQ構築原価/新規件</t>
        </is>
      </c>
      <c r="B16" s="5" t="n">
        <v>36000</v>
      </c>
      <c r="D16" t="inlineStr">
        <is>
          <t>30h×¥1,200（pricing.md）</t>
        </is>
      </c>
    </row>
    <row r="17">
      <c r="A17" s="4" t="inlineStr">
        <is>
          <t>月額メンテ原価/件</t>
        </is>
      </c>
      <c r="B17" s="5" t="n">
        <v>4800</v>
      </c>
      <c r="D17" t="inlineStr">
        <is>
          <t>4h×¥1,200</t>
        </is>
      </c>
    </row>
    <row r="18">
      <c r="A18" s="4" t="inlineStr">
        <is>
          <t>LLM API/件・月</t>
        </is>
      </c>
      <c r="B18" s="5" t="n">
        <v>12</v>
      </c>
      <c r="D18" t="inlineStr">
        <is>
          <t>Gemini Flash実績</t>
        </is>
      </c>
    </row>
    <row r="20">
      <c r="A20" s="2" t="inlineStr">
        <is>
          <t>【インフラ（顧客数連動）】</t>
        </is>
      </c>
      <c r="B20" s="3" t="n"/>
      <c r="C20" s="3" t="n"/>
      <c r="D20" s="3" t="n"/>
    </row>
    <row r="21">
      <c r="A21" s="4" t="inlineStr">
        <is>
          <t>Cloud SQL 〜50院</t>
        </is>
      </c>
      <c r="B21" s="5" t="n">
        <v>8000</v>
      </c>
    </row>
    <row r="22">
      <c r="A22" s="4" t="inlineStr">
        <is>
          <t>Cloud SQL 50-200院</t>
        </is>
      </c>
      <c r="B22" s="5" t="n">
        <v>15000</v>
      </c>
    </row>
    <row r="23">
      <c r="A23" s="4" t="inlineStr">
        <is>
          <t>Cloud SQL 200院超</t>
        </is>
      </c>
      <c r="B23" s="5" t="n">
        <v>25000</v>
      </c>
    </row>
    <row r="24">
      <c r="A24" s="4" t="inlineStr">
        <is>
          <t>Cloud Run 〜50院</t>
        </is>
      </c>
      <c r="B24" s="5" t="n">
        <v>2000</v>
      </c>
    </row>
    <row r="25">
      <c r="A25" s="4" t="inlineStr">
        <is>
          <t>Cloud Run 50-200院</t>
        </is>
      </c>
      <c r="B25" s="5" t="n">
        <v>5000</v>
      </c>
    </row>
    <row r="26">
      <c r="A26" s="4" t="inlineStr">
        <is>
          <t>Cloud Run 200院超</t>
        </is>
      </c>
      <c r="B26" s="5" t="n">
        <v>15000</v>
      </c>
    </row>
    <row r="28">
      <c r="A28" s="2" t="inlineStr">
        <is>
          <t>【人員担当比率（レバー）】</t>
        </is>
      </c>
      <c r="B28" s="3" t="n"/>
      <c r="C28" s="3" t="n"/>
      <c r="D28" s="3" t="n"/>
    </row>
    <row r="29">
      <c r="A29" s="4" t="inlineStr">
        <is>
          <t>BPO事務長 担当社数/人</t>
        </is>
      </c>
      <c r="B29" s="8" t="n">
        <v>10</v>
      </c>
      <c r="D29" t="inlineStr">
        <is>
          <t>★変数：下げると人件費増、上げると減</t>
        </is>
      </c>
    </row>
    <row r="30">
      <c r="A30" s="4" t="inlineStr">
        <is>
          <t>BPOオペ 担当社数/人</t>
        </is>
      </c>
      <c r="B30" s="8" t="n">
        <v>15</v>
      </c>
      <c r="D30" t="inlineStr">
        <is>
          <t>★変数</t>
        </is>
      </c>
    </row>
    <row r="31">
      <c r="A31" s="4" t="inlineStr">
        <is>
          <t>CS 担当社数/人</t>
        </is>
      </c>
      <c r="B31" s="8" t="n">
        <v>20</v>
      </c>
      <c r="D31" t="inlineStr">
        <is>
          <t>★変数</t>
        </is>
      </c>
    </row>
    <row r="33">
      <c r="A33" s="2" t="inlineStr">
        <is>
          <t>【人件費単価（月額）】</t>
        </is>
      </c>
      <c r="B33" s="3" t="n"/>
      <c r="C33" s="3" t="n"/>
      <c r="D33" s="3" t="n"/>
    </row>
    <row r="34">
      <c r="A34" s="4" t="inlineStr">
        <is>
          <t>CEO報酬</t>
        </is>
      </c>
      <c r="B34" s="5" t="n">
        <v>300000</v>
      </c>
    </row>
    <row r="35">
      <c r="A35" s="4" t="inlineStr">
        <is>
          <t>エンジニア時給（業務委託）</t>
        </is>
      </c>
      <c r="B35" s="5" t="n">
        <v>5000</v>
      </c>
    </row>
    <row r="36">
      <c r="A36" s="4" t="inlineStr">
        <is>
          <t>エンジニア月間稼働h(P1)</t>
        </is>
      </c>
      <c r="B36" s="9" t="n">
        <v>64.5</v>
      </c>
    </row>
    <row r="37">
      <c r="A37" s="4" t="inlineStr">
        <is>
          <t>エンジニア月間稼働h(P2)</t>
        </is>
      </c>
      <c r="B37" s="9" t="n">
        <v>40</v>
      </c>
    </row>
    <row r="38">
      <c r="A38" s="4" t="inlineStr">
        <is>
          <t>エンジニア正社員 単価/人</t>
        </is>
      </c>
      <c r="B38" s="5" t="n">
        <v>700000</v>
      </c>
    </row>
    <row r="39">
      <c r="A39" s="4" t="inlineStr">
        <is>
          <t>BPO事務長 単価/人</t>
        </is>
      </c>
      <c r="B39" s="5" t="n">
        <v>400000</v>
      </c>
    </row>
    <row r="40">
      <c r="A40" s="4" t="inlineStr">
        <is>
          <t>BPOオペ 単価/人</t>
        </is>
      </c>
      <c r="B40" s="5" t="n">
        <v>200000</v>
      </c>
    </row>
    <row r="41">
      <c r="A41" s="4" t="inlineStr">
        <is>
          <t>営業サポート 単価/人</t>
        </is>
      </c>
      <c r="B41" s="5" t="n">
        <v>200000</v>
      </c>
    </row>
    <row r="42">
      <c r="A42" s="4" t="inlineStr">
        <is>
          <t>CS 単価/人</t>
        </is>
      </c>
      <c r="B42" s="5" t="n">
        <v>350000</v>
      </c>
    </row>
    <row r="43">
      <c r="A43" s="4" t="inlineStr">
        <is>
          <t>社会保険料率（正社員のみ）</t>
        </is>
      </c>
      <c r="B43" s="6" t="n">
        <v>0.15</v>
      </c>
      <c r="D43" t="inlineStr">
        <is>
          <t>CEO・エンジニア正社員に適用</t>
        </is>
      </c>
    </row>
    <row r="44">
      <c r="A44" s="4" t="inlineStr">
        <is>
          <t>福利厚生/人・月（全員）</t>
        </is>
      </c>
      <c r="B44" s="5" t="n">
        <v>5000</v>
      </c>
    </row>
    <row r="46">
      <c r="A46" s="2" t="inlineStr">
        <is>
          <t>【固定費・販管費（月額）】</t>
        </is>
      </c>
      <c r="B46" s="3" t="n"/>
      <c r="C46" s="3" t="n"/>
      <c r="D46" s="3" t="n"/>
    </row>
    <row r="47">
      <c r="A47" s="4" t="inlineStr">
        <is>
          <t>オフィス家賃（Phase1-3）</t>
        </is>
      </c>
      <c r="B47" s="5" t="n">
        <v>50000</v>
      </c>
      <c r="D47" t="inlineStr">
        <is>
          <t>コワーキング想定</t>
        </is>
      </c>
    </row>
    <row r="48">
      <c r="A48" s="4" t="inlineStr">
        <is>
          <t>オフィス家賃（Phase4+）</t>
        </is>
      </c>
      <c r="B48" s="5" t="n">
        <v>150000</v>
      </c>
    </row>
    <row r="49">
      <c r="A49" s="4" t="inlineStr">
        <is>
          <t>SaaS費用/人・月</t>
        </is>
      </c>
      <c r="B49" s="5" t="n">
        <v>20000</v>
      </c>
      <c r="D49" t="inlineStr">
        <is>
          <t>Slack/Notion/Figma等</t>
        </is>
      </c>
    </row>
    <row r="50">
      <c r="A50" s="4" t="inlineStr">
        <is>
          <t>通信費/月</t>
        </is>
      </c>
      <c r="B50" s="5" t="n">
        <v>10000</v>
      </c>
    </row>
    <row r="51">
      <c r="A51" s="4" t="inlineStr">
        <is>
          <t>会計顧問/月</t>
        </is>
      </c>
      <c r="B51" s="5" t="n">
        <v>50000</v>
      </c>
    </row>
    <row r="52">
      <c r="A52" s="4" t="inlineStr">
        <is>
          <t>弁護士・法務/月</t>
        </is>
      </c>
      <c r="B52" s="5" t="n">
        <v>50000</v>
      </c>
    </row>
    <row r="53">
      <c r="A53" s="4" t="inlineStr">
        <is>
          <t>情報セキュリティ保険/月</t>
        </is>
      </c>
      <c r="B53" s="5" t="n">
        <v>30000</v>
      </c>
      <c r="D53" t="inlineStr">
        <is>
          <t>医療データ取扱必須</t>
        </is>
      </c>
    </row>
    <row r="54">
      <c r="A54" s="4" t="inlineStr">
        <is>
          <t>決済手数料率</t>
        </is>
      </c>
      <c r="B54" s="6" t="n">
        <v>0.035</v>
      </c>
      <c r="D54" t="inlineStr">
        <is>
          <t>Stripe等</t>
        </is>
      </c>
    </row>
    <row r="55">
      <c r="A55" s="4" t="inlineStr">
        <is>
          <t>その他固定費/月</t>
        </is>
      </c>
      <c r="B55" s="5" t="n">
        <v>100000</v>
      </c>
      <c r="D55" t="inlineStr">
        <is>
          <t>雑費</t>
        </is>
      </c>
    </row>
    <row r="57">
      <c r="A57" s="2" t="inlineStr">
        <is>
          <t>【新規SuguDesk契約数（Phase別、月間）】</t>
        </is>
      </c>
      <c r="B57" s="3" t="n"/>
      <c r="C57" s="3" t="n"/>
      <c r="D57" s="3" t="n"/>
    </row>
    <row r="58">
      <c r="A58" s="4" t="inlineStr">
        <is>
          <t>Phase1</t>
        </is>
      </c>
      <c r="B58" s="8" t="n">
        <v>2</v>
      </c>
      <c r="D58" t="inlineStr">
        <is>
          <t>M1-6 直販</t>
        </is>
      </c>
    </row>
    <row r="59">
      <c r="A59" s="4" t="inlineStr">
        <is>
          <t>Phase2</t>
        </is>
      </c>
      <c r="B59" s="8" t="n">
        <v>5</v>
      </c>
      <c r="D59" t="inlineStr">
        <is>
          <t>M7-12 ギミック提携加速</t>
        </is>
      </c>
    </row>
    <row r="60">
      <c r="A60" s="4" t="inlineStr">
        <is>
          <t>Phase3</t>
        </is>
      </c>
      <c r="B60" s="8" t="n">
        <v>5</v>
      </c>
      <c r="D60" t="inlineStr">
        <is>
          <t>M13-18</t>
        </is>
      </c>
    </row>
    <row r="61">
      <c r="A61" s="4" t="inlineStr">
        <is>
          <t>Phase4</t>
        </is>
      </c>
      <c r="B61" s="8" t="n">
        <v>6</v>
      </c>
      <c r="D61" t="inlineStr">
        <is>
          <t>M19-24 SeriesA前</t>
        </is>
      </c>
    </row>
    <row r="62">
      <c r="A62" s="4" t="inlineStr">
        <is>
          <t>Phase5</t>
        </is>
      </c>
      <c r="B62" s="8" t="n">
        <v>8</v>
      </c>
      <c r="D62" t="inlineStr">
        <is>
          <t>M25-36 SeriesA後</t>
        </is>
      </c>
    </row>
    <row r="63">
      <c r="A63" s="4" t="inlineStr">
        <is>
          <t>Phase6</t>
        </is>
      </c>
      <c r="B63" s="8" t="n">
        <v>10</v>
      </c>
      <c r="D63" t="inlineStr">
        <is>
          <t>M37-48 スケール</t>
        </is>
      </c>
    </row>
    <row r="64">
      <c r="A64" s="4" t="inlineStr">
        <is>
          <t>Phase7</t>
        </is>
      </c>
      <c r="B64" s="8" t="n">
        <v>12</v>
      </c>
      <c r="D64" t="inlineStr">
        <is>
          <t>M49-60 成熟</t>
        </is>
      </c>
    </row>
    <row r="66">
      <c r="A66" s="2" t="inlineStr">
        <is>
          <t>【BPOアップセル率（Phase別、月次）】</t>
        </is>
      </c>
      <c r="B66" s="3" t="n"/>
      <c r="C66" s="3" t="n"/>
      <c r="D66" s="3" t="n"/>
    </row>
    <row r="67">
      <c r="A67" s="4" t="inlineStr">
        <is>
          <t>Phase1</t>
        </is>
      </c>
      <c r="B67" s="6" t="n">
        <v>0</v>
      </c>
      <c r="D67" t="inlineStr">
        <is>
          <t>P1: BPO体制立ち上げ前</t>
        </is>
      </c>
    </row>
    <row r="68">
      <c r="A68" s="4" t="inlineStr">
        <is>
          <t>Phase2</t>
        </is>
      </c>
      <c r="B68" s="6" t="n">
        <v>0.06</v>
      </c>
      <c r="D68" t="inlineStr">
        <is>
          <t>P2: ギミック経由＆既存深耕</t>
        </is>
      </c>
    </row>
    <row r="69">
      <c r="A69" s="4" t="inlineStr">
        <is>
          <t>Phase3</t>
        </is>
      </c>
      <c r="B69" s="6" t="n">
        <v>0.05</v>
      </c>
    </row>
    <row r="70">
      <c r="A70" s="4" t="inlineStr">
        <is>
          <t>Phase4</t>
        </is>
      </c>
      <c r="B70" s="6" t="n">
        <v>0.05</v>
      </c>
    </row>
    <row r="71">
      <c r="A71" s="4" t="inlineStr">
        <is>
          <t>Phase5</t>
        </is>
      </c>
      <c r="B71" s="6" t="n">
        <v>0.04</v>
      </c>
    </row>
    <row r="72">
      <c r="A72" s="4" t="inlineStr">
        <is>
          <t>Phase6</t>
        </is>
      </c>
      <c r="B72" s="6" t="n">
        <v>0.04</v>
      </c>
    </row>
    <row r="73">
      <c r="A73" s="4" t="inlineStr">
        <is>
          <t>Phase7</t>
        </is>
      </c>
      <c r="B73" s="6" t="n">
        <v>0.03</v>
      </c>
    </row>
    <row r="75">
      <c r="A75" s="2" t="inlineStr">
        <is>
          <t>【広告宣伝費（Phase別、月額）】</t>
        </is>
      </c>
      <c r="B75" s="3" t="n"/>
      <c r="C75" s="3" t="n"/>
      <c r="D75" s="3" t="n"/>
    </row>
    <row r="76">
      <c r="A76" s="4" t="inlineStr">
        <is>
          <t>Phase1</t>
        </is>
      </c>
      <c r="B76" s="5" t="n">
        <v>50000</v>
      </c>
    </row>
    <row r="77">
      <c r="A77" s="4" t="inlineStr">
        <is>
          <t>Phase2</t>
        </is>
      </c>
      <c r="B77" s="5" t="n">
        <v>200000</v>
      </c>
    </row>
    <row r="78">
      <c r="A78" s="4" t="inlineStr">
        <is>
          <t>Phase3</t>
        </is>
      </c>
      <c r="B78" s="5" t="n">
        <v>300000</v>
      </c>
    </row>
    <row r="79">
      <c r="A79" s="4" t="inlineStr">
        <is>
          <t>Phase4</t>
        </is>
      </c>
      <c r="B79" s="5" t="n">
        <v>500000</v>
      </c>
    </row>
    <row r="80">
      <c r="A80" s="4" t="inlineStr">
        <is>
          <t>Phase5</t>
        </is>
      </c>
      <c r="B80" s="5" t="n">
        <v>800000</v>
      </c>
    </row>
    <row r="81">
      <c r="A81" s="4" t="inlineStr">
        <is>
          <t>Phase6</t>
        </is>
      </c>
      <c r="B81" s="5" t="n">
        <v>1000000</v>
      </c>
    </row>
    <row r="82">
      <c r="A82" s="4" t="inlineStr">
        <is>
          <t>Phase7</t>
        </is>
      </c>
      <c r="B82" s="5" t="n">
        <v>1500000</v>
      </c>
    </row>
    <row r="84">
      <c r="A84" s="2" t="inlineStr">
        <is>
          <t>【エンジニア正社員人員（Phase別）】</t>
        </is>
      </c>
      <c r="B84" s="3" t="n"/>
      <c r="C84" s="3" t="n"/>
      <c r="D84" s="10" t="inlineStr">
        <is>
          <t>P1-2は業務委託時給、P3+から正社員</t>
        </is>
      </c>
    </row>
    <row r="85">
      <c r="A85" s="4" t="inlineStr">
        <is>
          <t>Phase1</t>
        </is>
      </c>
      <c r="B85" s="8" t="n">
        <v>0</v>
      </c>
    </row>
    <row r="86">
      <c r="A86" s="4" t="inlineStr">
        <is>
          <t>Phase2</t>
        </is>
      </c>
      <c r="B86" s="8" t="n">
        <v>0</v>
      </c>
    </row>
    <row r="87">
      <c r="A87" s="4" t="inlineStr">
        <is>
          <t>Phase3</t>
        </is>
      </c>
      <c r="B87" s="8" t="n">
        <v>1</v>
      </c>
    </row>
    <row r="88">
      <c r="A88" s="4" t="inlineStr">
        <is>
          <t>Phase4</t>
        </is>
      </c>
      <c r="B88" s="8" t="n">
        <v>1</v>
      </c>
    </row>
    <row r="89">
      <c r="A89" s="4" t="inlineStr">
        <is>
          <t>Phase5</t>
        </is>
      </c>
      <c r="B89" s="8" t="n">
        <v>2</v>
      </c>
    </row>
    <row r="90">
      <c r="A90" s="4" t="inlineStr">
        <is>
          <t>Phase6</t>
        </is>
      </c>
      <c r="B90" s="8" t="n">
        <v>2</v>
      </c>
    </row>
    <row r="91">
      <c r="A91" s="4" t="inlineStr">
        <is>
          <t>Phase7</t>
        </is>
      </c>
      <c r="B91" s="8" t="n">
        <v>2</v>
      </c>
    </row>
    <row r="93">
      <c r="A93" s="2" t="inlineStr">
        <is>
          <t>【営業サポート人員（Phase別）】</t>
        </is>
      </c>
      <c r="B93" s="3" t="n"/>
      <c r="C93" s="3" t="n"/>
      <c r="D93" s="3" t="n"/>
    </row>
    <row r="94">
      <c r="A94" s="4" t="inlineStr">
        <is>
          <t>Phase1</t>
        </is>
      </c>
      <c r="B94" s="8" t="n">
        <v>1</v>
      </c>
    </row>
    <row r="95">
      <c r="A95" s="4" t="inlineStr">
        <is>
          <t>Phase2</t>
        </is>
      </c>
      <c r="B95" s="8" t="n">
        <v>1</v>
      </c>
    </row>
    <row r="96">
      <c r="A96" s="4" t="inlineStr">
        <is>
          <t>Phase3</t>
        </is>
      </c>
      <c r="B96" s="8" t="n">
        <v>1</v>
      </c>
    </row>
    <row r="97">
      <c r="A97" s="4" t="inlineStr">
        <is>
          <t>Phase4</t>
        </is>
      </c>
      <c r="B97" s="8" t="n">
        <v>1</v>
      </c>
    </row>
    <row r="98">
      <c r="A98" s="4" t="inlineStr">
        <is>
          <t>Phase5</t>
        </is>
      </c>
      <c r="B98" s="8" t="n">
        <v>2</v>
      </c>
    </row>
    <row r="99">
      <c r="A99" s="4" t="inlineStr">
        <is>
          <t>Phase6</t>
        </is>
      </c>
      <c r="B99" s="8" t="n">
        <v>2</v>
      </c>
    </row>
    <row r="100">
      <c r="A100" s="4" t="inlineStr">
        <is>
          <t>Phase7</t>
        </is>
      </c>
      <c r="B100" s="8" t="n">
        <v>3</v>
      </c>
    </row>
    <row r="102">
      <c r="A102" s="2" t="inlineStr">
        <is>
          <t>【資本政策前提（Misuzu条件反映）】</t>
        </is>
      </c>
      <c r="B102" s="3" t="n"/>
      <c r="C102" s="3" t="n"/>
      <c r="D102" s="3" t="n"/>
    </row>
    <row r="103">
      <c r="A103" s="4" t="inlineStr">
        <is>
          <t>設立時株数</t>
        </is>
      </c>
      <c r="B103" s="8" t="n">
        <v>1000000</v>
      </c>
    </row>
    <row r="104">
      <c r="A104" s="4" t="inlineStr">
        <is>
          <t>設立時資本金</t>
        </is>
      </c>
      <c r="B104" s="5" t="n">
        <v>1000000</v>
      </c>
      <c r="D104" t="inlineStr">
        <is>
          <t>1株1円</t>
        </is>
      </c>
    </row>
    <row r="105">
      <c r="A105" s="4" t="inlineStr">
        <is>
          <t>シードプレバリュー</t>
        </is>
      </c>
      <c r="B105" s="5" t="n">
        <v>170000000</v>
      </c>
      <c r="D105" t="inlineStr">
        <is>
          <t>1.7億</t>
        </is>
      </c>
    </row>
    <row r="106">
      <c r="A106" s="4" t="inlineStr">
        <is>
          <t>Oikaze（みなし優先株）</t>
        </is>
      </c>
      <c r="B106" s="5" t="n">
        <v>26000070</v>
      </c>
      <c r="D106" t="inlineStr">
        <is>
          <t>Post2億・希薄化15%調整</t>
        </is>
      </c>
    </row>
    <row r="107">
      <c r="A107" s="4" t="inlineStr">
        <is>
          <t>佐藤さん（エンジェル）</t>
        </is>
      </c>
      <c r="B107" s="5" t="n">
        <v>3000000</v>
      </c>
    </row>
    <row r="108">
      <c r="A108" s="4" t="inlineStr">
        <is>
          <t>洋介さん（エンジェル）</t>
        </is>
      </c>
      <c r="B108" s="5" t="n">
        <v>999930</v>
      </c>
      <c r="D108" t="inlineStr">
        <is>
          <t>エンジェル枠合計¥3,999,930</t>
        </is>
      </c>
    </row>
    <row r="109">
      <c r="A109" s="4" t="inlineStr">
        <is>
          <t>公庫（資本性ローン・デット）</t>
        </is>
      </c>
      <c r="B109" s="5" t="n">
        <v>5000000</v>
      </c>
      <c r="D109" t="inlineStr">
        <is>
          <t>希薄化対象外</t>
        </is>
      </c>
    </row>
    <row r="110">
      <c r="A110" s="4" t="inlineStr">
        <is>
          <t>公庫金利（年率）</t>
        </is>
      </c>
      <c r="B110" s="11" t="n">
        <v>0.015</v>
      </c>
    </row>
    <row r="111">
      <c r="A111" s="4" t="inlineStr">
        <is>
          <t>公庫据置期間（月）</t>
        </is>
      </c>
      <c r="B111" s="8" t="n">
        <v>24</v>
      </c>
    </row>
    <row r="112">
      <c r="A112" s="4" t="inlineStr">
        <is>
          <t>公庫返済期間（月）</t>
        </is>
      </c>
      <c r="B112" s="8" t="n">
        <v>60</v>
      </c>
    </row>
    <row r="113">
      <c r="A113" s="4" t="inlineStr">
        <is>
          <t>Series Aプレバリュー</t>
        </is>
      </c>
      <c r="B113" s="5" t="n">
        <v>500000000</v>
      </c>
      <c r="D113" t="inlineStr">
        <is>
          <t>想定</t>
        </is>
      </c>
    </row>
    <row r="114">
      <c r="A114" s="4" t="inlineStr">
        <is>
          <t>Series A調達額</t>
        </is>
      </c>
      <c r="B114" s="5" t="n">
        <v>100000000</v>
      </c>
      <c r="D114" t="inlineStr">
        <is>
          <t>想定</t>
        </is>
      </c>
    </row>
    <row r="115">
      <c r="A115" s="4" t="inlineStr">
        <is>
          <t>SOPプール比率</t>
        </is>
      </c>
      <c r="B115" s="6" t="n">
        <v>0.067</v>
      </c>
      <c r="D115" t="inlineStr">
        <is>
          <t>Series A時</t>
        </is>
      </c>
    </row>
    <row r="116">
      <c r="A116" s="4" t="inlineStr">
        <is>
          <t>Series A調達月</t>
        </is>
      </c>
      <c r="B116" s="8" t="n">
        <v>24</v>
      </c>
      <c r="D116" t="inlineStr">
        <is>
          <t>M24想定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2" t="inlineStr">
        <is>
          <t>月次事業計画（5年=60ヶ月）</t>
        </is>
      </c>
    </row>
    <row r="2">
      <c r="A2" s="13" t="inlineStr">
        <is>
          <t>フェーズ</t>
        </is>
      </c>
      <c r="B2" s="14" t="inlineStr">
        <is>
          <t>P1</t>
        </is>
      </c>
      <c r="C2" s="14" t="inlineStr">
        <is>
          <t>P1</t>
        </is>
      </c>
      <c r="D2" s="14" t="inlineStr">
        <is>
          <t>P1</t>
        </is>
      </c>
      <c r="E2" s="14" t="inlineStr">
        <is>
          <t>P1</t>
        </is>
      </c>
      <c r="F2" s="14" t="inlineStr">
        <is>
          <t>P1</t>
        </is>
      </c>
      <c r="G2" s="14" t="inlineStr">
        <is>
          <t>P1</t>
        </is>
      </c>
      <c r="H2" s="14" t="inlineStr">
        <is>
          <t>P2</t>
        </is>
      </c>
      <c r="I2" s="14" t="inlineStr">
        <is>
          <t>P2</t>
        </is>
      </c>
      <c r="J2" s="14" t="inlineStr">
        <is>
          <t>P2</t>
        </is>
      </c>
      <c r="K2" s="14" t="inlineStr">
        <is>
          <t>P2</t>
        </is>
      </c>
      <c r="L2" s="14" t="inlineStr">
        <is>
          <t>P2</t>
        </is>
      </c>
      <c r="M2" s="14" t="inlineStr">
        <is>
          <t>P2</t>
        </is>
      </c>
      <c r="N2" s="14" t="inlineStr">
        <is>
          <t>P3</t>
        </is>
      </c>
      <c r="O2" s="14" t="inlineStr">
        <is>
          <t>P3</t>
        </is>
      </c>
      <c r="P2" s="14" t="inlineStr">
        <is>
          <t>P3</t>
        </is>
      </c>
      <c r="Q2" s="14" t="inlineStr">
        <is>
          <t>P3</t>
        </is>
      </c>
      <c r="R2" s="14" t="inlineStr">
        <is>
          <t>P3</t>
        </is>
      </c>
      <c r="S2" s="14" t="inlineStr">
        <is>
          <t>P3</t>
        </is>
      </c>
      <c r="T2" s="14" t="inlineStr">
        <is>
          <t>P4</t>
        </is>
      </c>
      <c r="U2" s="14" t="inlineStr">
        <is>
          <t>P4</t>
        </is>
      </c>
      <c r="V2" s="14" t="inlineStr">
        <is>
          <t>P4</t>
        </is>
      </c>
      <c r="W2" s="14" t="inlineStr">
        <is>
          <t>P4</t>
        </is>
      </c>
      <c r="X2" s="14" t="inlineStr">
        <is>
          <t>P4</t>
        </is>
      </c>
      <c r="Y2" s="14" t="inlineStr">
        <is>
          <t>P4</t>
        </is>
      </c>
      <c r="Z2" s="14" t="inlineStr">
        <is>
          <t>P5</t>
        </is>
      </c>
      <c r="AA2" s="14" t="inlineStr">
        <is>
          <t>P5</t>
        </is>
      </c>
      <c r="AB2" s="14" t="inlineStr">
        <is>
          <t>P5</t>
        </is>
      </c>
      <c r="AC2" s="14" t="inlineStr">
        <is>
          <t>P5</t>
        </is>
      </c>
      <c r="AD2" s="14" t="inlineStr">
        <is>
          <t>P5</t>
        </is>
      </c>
      <c r="AE2" s="14" t="inlineStr">
        <is>
          <t>P5</t>
        </is>
      </c>
      <c r="AF2" s="14" t="inlineStr">
        <is>
          <t>P5</t>
        </is>
      </c>
      <c r="AG2" s="14" t="inlineStr">
        <is>
          <t>P5</t>
        </is>
      </c>
      <c r="AH2" s="14" t="inlineStr">
        <is>
          <t>P5</t>
        </is>
      </c>
      <c r="AI2" s="14" t="inlineStr">
        <is>
          <t>P5</t>
        </is>
      </c>
      <c r="AJ2" s="14" t="inlineStr">
        <is>
          <t>P5</t>
        </is>
      </c>
      <c r="AK2" s="14" t="inlineStr">
        <is>
          <t>P5</t>
        </is>
      </c>
      <c r="AL2" s="14" t="inlineStr">
        <is>
          <t>P6</t>
        </is>
      </c>
      <c r="AM2" s="14" t="inlineStr">
        <is>
          <t>P6</t>
        </is>
      </c>
      <c r="AN2" s="14" t="inlineStr">
        <is>
          <t>P6</t>
        </is>
      </c>
      <c r="AO2" s="14" t="inlineStr">
        <is>
          <t>P6</t>
        </is>
      </c>
      <c r="AP2" s="14" t="inlineStr">
        <is>
          <t>P6</t>
        </is>
      </c>
      <c r="AQ2" s="14" t="inlineStr">
        <is>
          <t>P6</t>
        </is>
      </c>
      <c r="AR2" s="14" t="inlineStr">
        <is>
          <t>P6</t>
        </is>
      </c>
      <c r="AS2" s="14" t="inlineStr">
        <is>
          <t>P6</t>
        </is>
      </c>
      <c r="AT2" s="14" t="inlineStr">
        <is>
          <t>P6</t>
        </is>
      </c>
      <c r="AU2" s="14" t="inlineStr">
        <is>
          <t>P6</t>
        </is>
      </c>
      <c r="AV2" s="14" t="inlineStr">
        <is>
          <t>P6</t>
        </is>
      </c>
      <c r="AW2" s="14" t="inlineStr">
        <is>
          <t>P6</t>
        </is>
      </c>
      <c r="AX2" s="14" t="inlineStr">
        <is>
          <t>P7</t>
        </is>
      </c>
      <c r="AY2" s="14" t="inlineStr">
        <is>
          <t>P7</t>
        </is>
      </c>
      <c r="AZ2" s="14" t="inlineStr">
        <is>
          <t>P7</t>
        </is>
      </c>
      <c r="BA2" s="14" t="inlineStr">
        <is>
          <t>P7</t>
        </is>
      </c>
      <c r="BB2" s="14" t="inlineStr">
        <is>
          <t>P7</t>
        </is>
      </c>
      <c r="BC2" s="14" t="inlineStr">
        <is>
          <t>P7</t>
        </is>
      </c>
      <c r="BD2" s="14" t="inlineStr">
        <is>
          <t>P7</t>
        </is>
      </c>
      <c r="BE2" s="14" t="inlineStr">
        <is>
          <t>P7</t>
        </is>
      </c>
      <c r="BF2" s="14" t="inlineStr">
        <is>
          <t>P7</t>
        </is>
      </c>
      <c r="BG2" s="14" t="inlineStr">
        <is>
          <t>P7</t>
        </is>
      </c>
      <c r="BH2" s="14" t="inlineStr">
        <is>
          <t>P7</t>
        </is>
      </c>
      <c r="BI2" s="14" t="inlineStr">
        <is>
          <t>P7</t>
        </is>
      </c>
    </row>
    <row r="3">
      <c r="A3" s="13" t="inlineStr">
        <is>
          <t>月</t>
        </is>
      </c>
      <c r="B3" s="15" t="inlineStr">
        <is>
          <t>M1</t>
        </is>
      </c>
      <c r="C3" s="15" t="inlineStr">
        <is>
          <t>M2</t>
        </is>
      </c>
      <c r="D3" s="15" t="inlineStr">
        <is>
          <t>M3</t>
        </is>
      </c>
      <c r="E3" s="15" t="inlineStr">
        <is>
          <t>M4</t>
        </is>
      </c>
      <c r="F3" s="15" t="inlineStr">
        <is>
          <t>M5</t>
        </is>
      </c>
      <c r="G3" s="15" t="inlineStr">
        <is>
          <t>M6</t>
        </is>
      </c>
      <c r="H3" s="15" t="inlineStr">
        <is>
          <t>M7</t>
        </is>
      </c>
      <c r="I3" s="15" t="inlineStr">
        <is>
          <t>M8</t>
        </is>
      </c>
      <c r="J3" s="15" t="inlineStr">
        <is>
          <t>M9</t>
        </is>
      </c>
      <c r="K3" s="15" t="inlineStr">
        <is>
          <t>M10</t>
        </is>
      </c>
      <c r="L3" s="15" t="inlineStr">
        <is>
          <t>M11</t>
        </is>
      </c>
      <c r="M3" s="15" t="inlineStr">
        <is>
          <t>M12</t>
        </is>
      </c>
      <c r="N3" s="15" t="inlineStr">
        <is>
          <t>M13</t>
        </is>
      </c>
      <c r="O3" s="15" t="inlineStr">
        <is>
          <t>M14</t>
        </is>
      </c>
      <c r="P3" s="15" t="inlineStr">
        <is>
          <t>M15</t>
        </is>
      </c>
      <c r="Q3" s="15" t="inlineStr">
        <is>
          <t>M16</t>
        </is>
      </c>
      <c r="R3" s="15" t="inlineStr">
        <is>
          <t>M17</t>
        </is>
      </c>
      <c r="S3" s="15" t="inlineStr">
        <is>
          <t>M18</t>
        </is>
      </c>
      <c r="T3" s="15" t="inlineStr">
        <is>
          <t>M19</t>
        </is>
      </c>
      <c r="U3" s="15" t="inlineStr">
        <is>
          <t>M20</t>
        </is>
      </c>
      <c r="V3" s="15" t="inlineStr">
        <is>
          <t>M21</t>
        </is>
      </c>
      <c r="W3" s="15" t="inlineStr">
        <is>
          <t>M22</t>
        </is>
      </c>
      <c r="X3" s="15" t="inlineStr">
        <is>
          <t>M23</t>
        </is>
      </c>
      <c r="Y3" s="15" t="inlineStr">
        <is>
          <t>M24</t>
        </is>
      </c>
      <c r="Z3" s="15" t="inlineStr">
        <is>
          <t>M25</t>
        </is>
      </c>
      <c r="AA3" s="15" t="inlineStr">
        <is>
          <t>M26</t>
        </is>
      </c>
      <c r="AB3" s="15" t="inlineStr">
        <is>
          <t>M27</t>
        </is>
      </c>
      <c r="AC3" s="15" t="inlineStr">
        <is>
          <t>M28</t>
        </is>
      </c>
      <c r="AD3" s="15" t="inlineStr">
        <is>
          <t>M29</t>
        </is>
      </c>
      <c r="AE3" s="15" t="inlineStr">
        <is>
          <t>M30</t>
        </is>
      </c>
      <c r="AF3" s="15" t="inlineStr">
        <is>
          <t>M31</t>
        </is>
      </c>
      <c r="AG3" s="15" t="inlineStr">
        <is>
          <t>M32</t>
        </is>
      </c>
      <c r="AH3" s="15" t="inlineStr">
        <is>
          <t>M33</t>
        </is>
      </c>
      <c r="AI3" s="15" t="inlineStr">
        <is>
          <t>M34</t>
        </is>
      </c>
      <c r="AJ3" s="15" t="inlineStr">
        <is>
          <t>M35</t>
        </is>
      </c>
      <c r="AK3" s="15" t="inlineStr">
        <is>
          <t>M36</t>
        </is>
      </c>
      <c r="AL3" s="15" t="inlineStr">
        <is>
          <t>M37</t>
        </is>
      </c>
      <c r="AM3" s="15" t="inlineStr">
        <is>
          <t>M38</t>
        </is>
      </c>
      <c r="AN3" s="15" t="inlineStr">
        <is>
          <t>M39</t>
        </is>
      </c>
      <c r="AO3" s="15" t="inlineStr">
        <is>
          <t>M40</t>
        </is>
      </c>
      <c r="AP3" s="15" t="inlineStr">
        <is>
          <t>M41</t>
        </is>
      </c>
      <c r="AQ3" s="15" t="inlineStr">
        <is>
          <t>M42</t>
        </is>
      </c>
      <c r="AR3" s="15" t="inlineStr">
        <is>
          <t>M43</t>
        </is>
      </c>
      <c r="AS3" s="15" t="inlineStr">
        <is>
          <t>M44</t>
        </is>
      </c>
      <c r="AT3" s="15" t="inlineStr">
        <is>
          <t>M45</t>
        </is>
      </c>
      <c r="AU3" s="15" t="inlineStr">
        <is>
          <t>M46</t>
        </is>
      </c>
      <c r="AV3" s="15" t="inlineStr">
        <is>
          <t>M47</t>
        </is>
      </c>
      <c r="AW3" s="15" t="inlineStr">
        <is>
          <t>M48</t>
        </is>
      </c>
      <c r="AX3" s="15" t="inlineStr">
        <is>
          <t>M49</t>
        </is>
      </c>
      <c r="AY3" s="15" t="inlineStr">
        <is>
          <t>M50</t>
        </is>
      </c>
      <c r="AZ3" s="15" t="inlineStr">
        <is>
          <t>M51</t>
        </is>
      </c>
      <c r="BA3" s="15" t="inlineStr">
        <is>
          <t>M52</t>
        </is>
      </c>
      <c r="BB3" s="15" t="inlineStr">
        <is>
          <t>M53</t>
        </is>
      </c>
      <c r="BC3" s="15" t="inlineStr">
        <is>
          <t>M54</t>
        </is>
      </c>
      <c r="BD3" s="15" t="inlineStr">
        <is>
          <t>M55</t>
        </is>
      </c>
      <c r="BE3" s="15" t="inlineStr">
        <is>
          <t>M56</t>
        </is>
      </c>
      <c r="BF3" s="15" t="inlineStr">
        <is>
          <t>M57</t>
        </is>
      </c>
      <c r="BG3" s="15" t="inlineStr">
        <is>
          <t>M58</t>
        </is>
      </c>
      <c r="BH3" s="15" t="inlineStr">
        <is>
          <t>M59</t>
        </is>
      </c>
      <c r="BI3" s="15" t="inlineStr">
        <is>
          <t>M60</t>
        </is>
      </c>
    </row>
    <row r="4">
      <c r="A4" s="16" t="inlineStr">
        <is>
          <t>【営業活動】</t>
        </is>
      </c>
    </row>
    <row r="5">
      <c r="A5" t="inlineStr">
        <is>
          <t>月間新規SuguDesk契約数</t>
        </is>
      </c>
      <c r="B5" s="8">
        <f>IF(1&lt;=6,'前提'!$B$58,IF(1&lt;=12,'前提'!$B$59,IF(1&lt;=18,'前提'!$B$60,IF(1&lt;=24,'前提'!$B$61,IF(1&lt;=36,'前提'!$B$62,IF(1&lt;=48,'前提'!$B$63,'前提'!$B$64))))))</f>
        <v/>
      </c>
      <c r="C5" s="8">
        <f>IF(2&lt;=6,'前提'!$B$58,IF(2&lt;=12,'前提'!$B$59,IF(2&lt;=18,'前提'!$B$60,IF(2&lt;=24,'前提'!$B$61,IF(2&lt;=36,'前提'!$B$62,IF(2&lt;=48,'前提'!$B$63,'前提'!$B$64))))))</f>
        <v/>
      </c>
      <c r="D5" s="8">
        <f>IF(3&lt;=6,'前提'!$B$58,IF(3&lt;=12,'前提'!$B$59,IF(3&lt;=18,'前提'!$B$60,IF(3&lt;=24,'前提'!$B$61,IF(3&lt;=36,'前提'!$B$62,IF(3&lt;=48,'前提'!$B$63,'前提'!$B$64))))))</f>
        <v/>
      </c>
      <c r="E5" s="8">
        <f>IF(4&lt;=6,'前提'!$B$58,IF(4&lt;=12,'前提'!$B$59,IF(4&lt;=18,'前提'!$B$60,IF(4&lt;=24,'前提'!$B$61,IF(4&lt;=36,'前提'!$B$62,IF(4&lt;=48,'前提'!$B$63,'前提'!$B$64))))))</f>
        <v/>
      </c>
      <c r="F5" s="8">
        <f>IF(5&lt;=6,'前提'!$B$58,IF(5&lt;=12,'前提'!$B$59,IF(5&lt;=18,'前提'!$B$60,IF(5&lt;=24,'前提'!$B$61,IF(5&lt;=36,'前提'!$B$62,IF(5&lt;=48,'前提'!$B$63,'前提'!$B$64))))))</f>
        <v/>
      </c>
      <c r="G5" s="8">
        <f>IF(6&lt;=6,'前提'!$B$58,IF(6&lt;=12,'前提'!$B$59,IF(6&lt;=18,'前提'!$B$60,IF(6&lt;=24,'前提'!$B$61,IF(6&lt;=36,'前提'!$B$62,IF(6&lt;=48,'前提'!$B$63,'前提'!$B$64))))))</f>
        <v/>
      </c>
      <c r="H5" s="8">
        <f>IF(7&lt;=6,'前提'!$B$58,IF(7&lt;=12,'前提'!$B$59,IF(7&lt;=18,'前提'!$B$60,IF(7&lt;=24,'前提'!$B$61,IF(7&lt;=36,'前提'!$B$62,IF(7&lt;=48,'前提'!$B$63,'前提'!$B$64))))))</f>
        <v/>
      </c>
      <c r="I5" s="8">
        <f>IF(8&lt;=6,'前提'!$B$58,IF(8&lt;=12,'前提'!$B$59,IF(8&lt;=18,'前提'!$B$60,IF(8&lt;=24,'前提'!$B$61,IF(8&lt;=36,'前提'!$B$62,IF(8&lt;=48,'前提'!$B$63,'前提'!$B$64))))))</f>
        <v/>
      </c>
      <c r="J5" s="8">
        <f>IF(9&lt;=6,'前提'!$B$58,IF(9&lt;=12,'前提'!$B$59,IF(9&lt;=18,'前提'!$B$60,IF(9&lt;=24,'前提'!$B$61,IF(9&lt;=36,'前提'!$B$62,IF(9&lt;=48,'前提'!$B$63,'前提'!$B$64))))))</f>
        <v/>
      </c>
      <c r="K5" s="8">
        <f>IF(10&lt;=6,'前提'!$B$58,IF(10&lt;=12,'前提'!$B$59,IF(10&lt;=18,'前提'!$B$60,IF(10&lt;=24,'前提'!$B$61,IF(10&lt;=36,'前提'!$B$62,IF(10&lt;=48,'前提'!$B$63,'前提'!$B$64))))))</f>
        <v/>
      </c>
      <c r="L5" s="8">
        <f>IF(11&lt;=6,'前提'!$B$58,IF(11&lt;=12,'前提'!$B$59,IF(11&lt;=18,'前提'!$B$60,IF(11&lt;=24,'前提'!$B$61,IF(11&lt;=36,'前提'!$B$62,IF(11&lt;=48,'前提'!$B$63,'前提'!$B$64))))))</f>
        <v/>
      </c>
      <c r="M5" s="8">
        <f>IF(12&lt;=6,'前提'!$B$58,IF(12&lt;=12,'前提'!$B$59,IF(12&lt;=18,'前提'!$B$60,IF(12&lt;=24,'前提'!$B$61,IF(12&lt;=36,'前提'!$B$62,IF(12&lt;=48,'前提'!$B$63,'前提'!$B$64))))))</f>
        <v/>
      </c>
      <c r="N5" s="8">
        <f>IF(13&lt;=6,'前提'!$B$58,IF(13&lt;=12,'前提'!$B$59,IF(13&lt;=18,'前提'!$B$60,IF(13&lt;=24,'前提'!$B$61,IF(13&lt;=36,'前提'!$B$62,IF(13&lt;=48,'前提'!$B$63,'前提'!$B$64))))))</f>
        <v/>
      </c>
      <c r="O5" s="8">
        <f>IF(14&lt;=6,'前提'!$B$58,IF(14&lt;=12,'前提'!$B$59,IF(14&lt;=18,'前提'!$B$60,IF(14&lt;=24,'前提'!$B$61,IF(14&lt;=36,'前提'!$B$62,IF(14&lt;=48,'前提'!$B$63,'前提'!$B$64))))))</f>
        <v/>
      </c>
      <c r="P5" s="8">
        <f>IF(15&lt;=6,'前提'!$B$58,IF(15&lt;=12,'前提'!$B$59,IF(15&lt;=18,'前提'!$B$60,IF(15&lt;=24,'前提'!$B$61,IF(15&lt;=36,'前提'!$B$62,IF(15&lt;=48,'前提'!$B$63,'前提'!$B$64))))))</f>
        <v/>
      </c>
      <c r="Q5" s="8">
        <f>IF(16&lt;=6,'前提'!$B$58,IF(16&lt;=12,'前提'!$B$59,IF(16&lt;=18,'前提'!$B$60,IF(16&lt;=24,'前提'!$B$61,IF(16&lt;=36,'前提'!$B$62,IF(16&lt;=48,'前提'!$B$63,'前提'!$B$64))))))</f>
        <v/>
      </c>
      <c r="R5" s="8">
        <f>IF(17&lt;=6,'前提'!$B$58,IF(17&lt;=12,'前提'!$B$59,IF(17&lt;=18,'前提'!$B$60,IF(17&lt;=24,'前提'!$B$61,IF(17&lt;=36,'前提'!$B$62,IF(17&lt;=48,'前提'!$B$63,'前提'!$B$64))))))</f>
        <v/>
      </c>
      <c r="S5" s="8">
        <f>IF(18&lt;=6,'前提'!$B$58,IF(18&lt;=12,'前提'!$B$59,IF(18&lt;=18,'前提'!$B$60,IF(18&lt;=24,'前提'!$B$61,IF(18&lt;=36,'前提'!$B$62,IF(18&lt;=48,'前提'!$B$63,'前提'!$B$64))))))</f>
        <v/>
      </c>
      <c r="T5" s="8">
        <f>IF(19&lt;=6,'前提'!$B$58,IF(19&lt;=12,'前提'!$B$59,IF(19&lt;=18,'前提'!$B$60,IF(19&lt;=24,'前提'!$B$61,IF(19&lt;=36,'前提'!$B$62,IF(19&lt;=48,'前提'!$B$63,'前提'!$B$64))))))</f>
        <v/>
      </c>
      <c r="U5" s="8">
        <f>IF(20&lt;=6,'前提'!$B$58,IF(20&lt;=12,'前提'!$B$59,IF(20&lt;=18,'前提'!$B$60,IF(20&lt;=24,'前提'!$B$61,IF(20&lt;=36,'前提'!$B$62,IF(20&lt;=48,'前提'!$B$63,'前提'!$B$64))))))</f>
        <v/>
      </c>
      <c r="V5" s="8">
        <f>IF(21&lt;=6,'前提'!$B$58,IF(21&lt;=12,'前提'!$B$59,IF(21&lt;=18,'前提'!$B$60,IF(21&lt;=24,'前提'!$B$61,IF(21&lt;=36,'前提'!$B$62,IF(21&lt;=48,'前提'!$B$63,'前提'!$B$64))))))</f>
        <v/>
      </c>
      <c r="W5" s="8">
        <f>IF(22&lt;=6,'前提'!$B$58,IF(22&lt;=12,'前提'!$B$59,IF(22&lt;=18,'前提'!$B$60,IF(22&lt;=24,'前提'!$B$61,IF(22&lt;=36,'前提'!$B$62,IF(22&lt;=48,'前提'!$B$63,'前提'!$B$64))))))</f>
        <v/>
      </c>
      <c r="X5" s="8">
        <f>IF(23&lt;=6,'前提'!$B$58,IF(23&lt;=12,'前提'!$B$59,IF(23&lt;=18,'前提'!$B$60,IF(23&lt;=24,'前提'!$B$61,IF(23&lt;=36,'前提'!$B$62,IF(23&lt;=48,'前提'!$B$63,'前提'!$B$64))))))</f>
        <v/>
      </c>
      <c r="Y5" s="8">
        <f>IF(24&lt;=6,'前提'!$B$58,IF(24&lt;=12,'前提'!$B$59,IF(24&lt;=18,'前提'!$B$60,IF(24&lt;=24,'前提'!$B$61,IF(24&lt;=36,'前提'!$B$62,IF(24&lt;=48,'前提'!$B$63,'前提'!$B$64))))))</f>
        <v/>
      </c>
      <c r="Z5" s="8">
        <f>IF(25&lt;=6,'前提'!$B$58,IF(25&lt;=12,'前提'!$B$59,IF(25&lt;=18,'前提'!$B$60,IF(25&lt;=24,'前提'!$B$61,IF(25&lt;=36,'前提'!$B$62,IF(25&lt;=48,'前提'!$B$63,'前提'!$B$64))))))</f>
        <v/>
      </c>
      <c r="AA5" s="8">
        <f>IF(26&lt;=6,'前提'!$B$58,IF(26&lt;=12,'前提'!$B$59,IF(26&lt;=18,'前提'!$B$60,IF(26&lt;=24,'前提'!$B$61,IF(26&lt;=36,'前提'!$B$62,IF(26&lt;=48,'前提'!$B$63,'前提'!$B$64))))))</f>
        <v/>
      </c>
      <c r="AB5" s="8">
        <f>IF(27&lt;=6,'前提'!$B$58,IF(27&lt;=12,'前提'!$B$59,IF(27&lt;=18,'前提'!$B$60,IF(27&lt;=24,'前提'!$B$61,IF(27&lt;=36,'前提'!$B$62,IF(27&lt;=48,'前提'!$B$63,'前提'!$B$64))))))</f>
        <v/>
      </c>
      <c r="AC5" s="8">
        <f>IF(28&lt;=6,'前提'!$B$58,IF(28&lt;=12,'前提'!$B$59,IF(28&lt;=18,'前提'!$B$60,IF(28&lt;=24,'前提'!$B$61,IF(28&lt;=36,'前提'!$B$62,IF(28&lt;=48,'前提'!$B$63,'前提'!$B$64))))))</f>
        <v/>
      </c>
      <c r="AD5" s="8">
        <f>IF(29&lt;=6,'前提'!$B$58,IF(29&lt;=12,'前提'!$B$59,IF(29&lt;=18,'前提'!$B$60,IF(29&lt;=24,'前提'!$B$61,IF(29&lt;=36,'前提'!$B$62,IF(29&lt;=48,'前提'!$B$63,'前提'!$B$64))))))</f>
        <v/>
      </c>
      <c r="AE5" s="8">
        <f>IF(30&lt;=6,'前提'!$B$58,IF(30&lt;=12,'前提'!$B$59,IF(30&lt;=18,'前提'!$B$60,IF(30&lt;=24,'前提'!$B$61,IF(30&lt;=36,'前提'!$B$62,IF(30&lt;=48,'前提'!$B$63,'前提'!$B$64))))))</f>
        <v/>
      </c>
      <c r="AF5" s="8">
        <f>IF(31&lt;=6,'前提'!$B$58,IF(31&lt;=12,'前提'!$B$59,IF(31&lt;=18,'前提'!$B$60,IF(31&lt;=24,'前提'!$B$61,IF(31&lt;=36,'前提'!$B$62,IF(31&lt;=48,'前提'!$B$63,'前提'!$B$64))))))</f>
        <v/>
      </c>
      <c r="AG5" s="8">
        <f>IF(32&lt;=6,'前提'!$B$58,IF(32&lt;=12,'前提'!$B$59,IF(32&lt;=18,'前提'!$B$60,IF(32&lt;=24,'前提'!$B$61,IF(32&lt;=36,'前提'!$B$62,IF(32&lt;=48,'前提'!$B$63,'前提'!$B$64))))))</f>
        <v/>
      </c>
      <c r="AH5" s="8">
        <f>IF(33&lt;=6,'前提'!$B$58,IF(33&lt;=12,'前提'!$B$59,IF(33&lt;=18,'前提'!$B$60,IF(33&lt;=24,'前提'!$B$61,IF(33&lt;=36,'前提'!$B$62,IF(33&lt;=48,'前提'!$B$63,'前提'!$B$64))))))</f>
        <v/>
      </c>
      <c r="AI5" s="8">
        <f>IF(34&lt;=6,'前提'!$B$58,IF(34&lt;=12,'前提'!$B$59,IF(34&lt;=18,'前提'!$B$60,IF(34&lt;=24,'前提'!$B$61,IF(34&lt;=36,'前提'!$B$62,IF(34&lt;=48,'前提'!$B$63,'前提'!$B$64))))))</f>
        <v/>
      </c>
      <c r="AJ5" s="8">
        <f>IF(35&lt;=6,'前提'!$B$58,IF(35&lt;=12,'前提'!$B$59,IF(35&lt;=18,'前提'!$B$60,IF(35&lt;=24,'前提'!$B$61,IF(35&lt;=36,'前提'!$B$62,IF(35&lt;=48,'前提'!$B$63,'前提'!$B$64))))))</f>
        <v/>
      </c>
      <c r="AK5" s="8">
        <f>IF(36&lt;=6,'前提'!$B$58,IF(36&lt;=12,'前提'!$B$59,IF(36&lt;=18,'前提'!$B$60,IF(36&lt;=24,'前提'!$B$61,IF(36&lt;=36,'前提'!$B$62,IF(36&lt;=48,'前提'!$B$63,'前提'!$B$64))))))</f>
        <v/>
      </c>
      <c r="AL5" s="8">
        <f>IF(37&lt;=6,'前提'!$B$58,IF(37&lt;=12,'前提'!$B$59,IF(37&lt;=18,'前提'!$B$60,IF(37&lt;=24,'前提'!$B$61,IF(37&lt;=36,'前提'!$B$62,IF(37&lt;=48,'前提'!$B$63,'前提'!$B$64))))))</f>
        <v/>
      </c>
      <c r="AM5" s="8">
        <f>IF(38&lt;=6,'前提'!$B$58,IF(38&lt;=12,'前提'!$B$59,IF(38&lt;=18,'前提'!$B$60,IF(38&lt;=24,'前提'!$B$61,IF(38&lt;=36,'前提'!$B$62,IF(38&lt;=48,'前提'!$B$63,'前提'!$B$64))))))</f>
        <v/>
      </c>
      <c r="AN5" s="8">
        <f>IF(39&lt;=6,'前提'!$B$58,IF(39&lt;=12,'前提'!$B$59,IF(39&lt;=18,'前提'!$B$60,IF(39&lt;=24,'前提'!$B$61,IF(39&lt;=36,'前提'!$B$62,IF(39&lt;=48,'前提'!$B$63,'前提'!$B$64))))))</f>
        <v/>
      </c>
      <c r="AO5" s="8">
        <f>IF(40&lt;=6,'前提'!$B$58,IF(40&lt;=12,'前提'!$B$59,IF(40&lt;=18,'前提'!$B$60,IF(40&lt;=24,'前提'!$B$61,IF(40&lt;=36,'前提'!$B$62,IF(40&lt;=48,'前提'!$B$63,'前提'!$B$64))))))</f>
        <v/>
      </c>
      <c r="AP5" s="8">
        <f>IF(41&lt;=6,'前提'!$B$58,IF(41&lt;=12,'前提'!$B$59,IF(41&lt;=18,'前提'!$B$60,IF(41&lt;=24,'前提'!$B$61,IF(41&lt;=36,'前提'!$B$62,IF(41&lt;=48,'前提'!$B$63,'前提'!$B$64))))))</f>
        <v/>
      </c>
      <c r="AQ5" s="8">
        <f>IF(42&lt;=6,'前提'!$B$58,IF(42&lt;=12,'前提'!$B$59,IF(42&lt;=18,'前提'!$B$60,IF(42&lt;=24,'前提'!$B$61,IF(42&lt;=36,'前提'!$B$62,IF(42&lt;=48,'前提'!$B$63,'前提'!$B$64))))))</f>
        <v/>
      </c>
      <c r="AR5" s="8">
        <f>IF(43&lt;=6,'前提'!$B$58,IF(43&lt;=12,'前提'!$B$59,IF(43&lt;=18,'前提'!$B$60,IF(43&lt;=24,'前提'!$B$61,IF(43&lt;=36,'前提'!$B$62,IF(43&lt;=48,'前提'!$B$63,'前提'!$B$64))))))</f>
        <v/>
      </c>
      <c r="AS5" s="8">
        <f>IF(44&lt;=6,'前提'!$B$58,IF(44&lt;=12,'前提'!$B$59,IF(44&lt;=18,'前提'!$B$60,IF(44&lt;=24,'前提'!$B$61,IF(44&lt;=36,'前提'!$B$62,IF(44&lt;=48,'前提'!$B$63,'前提'!$B$64))))))</f>
        <v/>
      </c>
      <c r="AT5" s="8">
        <f>IF(45&lt;=6,'前提'!$B$58,IF(45&lt;=12,'前提'!$B$59,IF(45&lt;=18,'前提'!$B$60,IF(45&lt;=24,'前提'!$B$61,IF(45&lt;=36,'前提'!$B$62,IF(45&lt;=48,'前提'!$B$63,'前提'!$B$64))))))</f>
        <v/>
      </c>
      <c r="AU5" s="8">
        <f>IF(46&lt;=6,'前提'!$B$58,IF(46&lt;=12,'前提'!$B$59,IF(46&lt;=18,'前提'!$B$60,IF(46&lt;=24,'前提'!$B$61,IF(46&lt;=36,'前提'!$B$62,IF(46&lt;=48,'前提'!$B$63,'前提'!$B$64))))))</f>
        <v/>
      </c>
      <c r="AV5" s="8">
        <f>IF(47&lt;=6,'前提'!$B$58,IF(47&lt;=12,'前提'!$B$59,IF(47&lt;=18,'前提'!$B$60,IF(47&lt;=24,'前提'!$B$61,IF(47&lt;=36,'前提'!$B$62,IF(47&lt;=48,'前提'!$B$63,'前提'!$B$64))))))</f>
        <v/>
      </c>
      <c r="AW5" s="8">
        <f>IF(48&lt;=6,'前提'!$B$58,IF(48&lt;=12,'前提'!$B$59,IF(48&lt;=18,'前提'!$B$60,IF(48&lt;=24,'前提'!$B$61,IF(48&lt;=36,'前提'!$B$62,IF(48&lt;=48,'前提'!$B$63,'前提'!$B$64))))))</f>
        <v/>
      </c>
      <c r="AX5" s="8">
        <f>IF(49&lt;=6,'前提'!$B$58,IF(49&lt;=12,'前提'!$B$59,IF(49&lt;=18,'前提'!$B$60,IF(49&lt;=24,'前提'!$B$61,IF(49&lt;=36,'前提'!$B$62,IF(49&lt;=48,'前提'!$B$63,'前提'!$B$64))))))</f>
        <v/>
      </c>
      <c r="AY5" s="8">
        <f>IF(50&lt;=6,'前提'!$B$58,IF(50&lt;=12,'前提'!$B$59,IF(50&lt;=18,'前提'!$B$60,IF(50&lt;=24,'前提'!$B$61,IF(50&lt;=36,'前提'!$B$62,IF(50&lt;=48,'前提'!$B$63,'前提'!$B$64))))))</f>
        <v/>
      </c>
      <c r="AZ5" s="8">
        <f>IF(51&lt;=6,'前提'!$B$58,IF(51&lt;=12,'前提'!$B$59,IF(51&lt;=18,'前提'!$B$60,IF(51&lt;=24,'前提'!$B$61,IF(51&lt;=36,'前提'!$B$62,IF(51&lt;=48,'前提'!$B$63,'前提'!$B$64))))))</f>
        <v/>
      </c>
      <c r="BA5" s="8">
        <f>IF(52&lt;=6,'前提'!$B$58,IF(52&lt;=12,'前提'!$B$59,IF(52&lt;=18,'前提'!$B$60,IF(52&lt;=24,'前提'!$B$61,IF(52&lt;=36,'前提'!$B$62,IF(52&lt;=48,'前提'!$B$63,'前提'!$B$64))))))</f>
        <v/>
      </c>
      <c r="BB5" s="8">
        <f>IF(53&lt;=6,'前提'!$B$58,IF(53&lt;=12,'前提'!$B$59,IF(53&lt;=18,'前提'!$B$60,IF(53&lt;=24,'前提'!$B$61,IF(53&lt;=36,'前提'!$B$62,IF(53&lt;=48,'前提'!$B$63,'前提'!$B$64))))))</f>
        <v/>
      </c>
      <c r="BC5" s="8">
        <f>IF(54&lt;=6,'前提'!$B$58,IF(54&lt;=12,'前提'!$B$59,IF(54&lt;=18,'前提'!$B$60,IF(54&lt;=24,'前提'!$B$61,IF(54&lt;=36,'前提'!$B$62,IF(54&lt;=48,'前提'!$B$63,'前提'!$B$64))))))</f>
        <v/>
      </c>
      <c r="BD5" s="8">
        <f>IF(55&lt;=6,'前提'!$B$58,IF(55&lt;=12,'前提'!$B$59,IF(55&lt;=18,'前提'!$B$60,IF(55&lt;=24,'前提'!$B$61,IF(55&lt;=36,'前提'!$B$62,IF(55&lt;=48,'前提'!$B$63,'前提'!$B$64))))))</f>
        <v/>
      </c>
      <c r="BE5" s="8">
        <f>IF(56&lt;=6,'前提'!$B$58,IF(56&lt;=12,'前提'!$B$59,IF(56&lt;=18,'前提'!$B$60,IF(56&lt;=24,'前提'!$B$61,IF(56&lt;=36,'前提'!$B$62,IF(56&lt;=48,'前提'!$B$63,'前提'!$B$64))))))</f>
        <v/>
      </c>
      <c r="BF5" s="8">
        <f>IF(57&lt;=6,'前提'!$B$58,IF(57&lt;=12,'前提'!$B$59,IF(57&lt;=18,'前提'!$B$60,IF(57&lt;=24,'前提'!$B$61,IF(57&lt;=36,'前提'!$B$62,IF(57&lt;=48,'前提'!$B$63,'前提'!$B$64))))))</f>
        <v/>
      </c>
      <c r="BG5" s="8">
        <f>IF(58&lt;=6,'前提'!$B$58,IF(58&lt;=12,'前提'!$B$59,IF(58&lt;=18,'前提'!$B$60,IF(58&lt;=24,'前提'!$B$61,IF(58&lt;=36,'前提'!$B$62,IF(58&lt;=48,'前提'!$B$63,'前提'!$B$64))))))</f>
        <v/>
      </c>
      <c r="BH5" s="8">
        <f>IF(59&lt;=6,'前提'!$B$58,IF(59&lt;=12,'前提'!$B$59,IF(59&lt;=18,'前提'!$B$60,IF(59&lt;=24,'前提'!$B$61,IF(59&lt;=36,'前提'!$B$62,IF(59&lt;=48,'前提'!$B$63,'前提'!$B$64))))))</f>
        <v/>
      </c>
      <c r="BI5" s="8">
        <f>IF(60&lt;=6,'前提'!$B$58,IF(60&lt;=12,'前提'!$B$59,IF(60&lt;=18,'前提'!$B$60,IF(60&lt;=24,'前提'!$B$61,IF(60&lt;=36,'前提'!$B$62,IF(60&lt;=48,'前提'!$B$63,'前提'!$B$64))))))</f>
        <v/>
      </c>
    </row>
    <row r="7">
      <c r="A7" s="16" t="inlineStr">
        <is>
          <t>【顧客数】</t>
        </is>
      </c>
    </row>
    <row r="8">
      <c r="A8" t="inlineStr">
        <is>
          <t>SuguDesk期首</t>
        </is>
      </c>
      <c r="B8" s="8" t="n">
        <v>1</v>
      </c>
      <c r="C8" s="8">
        <f>B10</f>
        <v/>
      </c>
      <c r="D8" s="8">
        <f>C10</f>
        <v/>
      </c>
      <c r="E8" s="8">
        <f>D10</f>
        <v/>
      </c>
      <c r="F8" s="8">
        <f>E10</f>
        <v/>
      </c>
      <c r="G8" s="8">
        <f>F10</f>
        <v/>
      </c>
      <c r="H8" s="8">
        <f>G10</f>
        <v/>
      </c>
      <c r="I8" s="8">
        <f>H10</f>
        <v/>
      </c>
      <c r="J8" s="8">
        <f>I10</f>
        <v/>
      </c>
      <c r="K8" s="8">
        <f>J10</f>
        <v/>
      </c>
      <c r="L8" s="8">
        <f>K10</f>
        <v/>
      </c>
      <c r="M8" s="8">
        <f>L10</f>
        <v/>
      </c>
      <c r="N8" s="8">
        <f>M10</f>
        <v/>
      </c>
      <c r="O8" s="8">
        <f>N10</f>
        <v/>
      </c>
      <c r="P8" s="8">
        <f>O10</f>
        <v/>
      </c>
      <c r="Q8" s="8">
        <f>P10</f>
        <v/>
      </c>
      <c r="R8" s="8">
        <f>Q10</f>
        <v/>
      </c>
      <c r="S8" s="8">
        <f>R10</f>
        <v/>
      </c>
      <c r="T8" s="8">
        <f>S10</f>
        <v/>
      </c>
      <c r="U8" s="8">
        <f>T10</f>
        <v/>
      </c>
      <c r="V8" s="8">
        <f>U10</f>
        <v/>
      </c>
      <c r="W8" s="8">
        <f>V10</f>
        <v/>
      </c>
      <c r="X8" s="8">
        <f>W10</f>
        <v/>
      </c>
      <c r="Y8" s="8">
        <f>X10</f>
        <v/>
      </c>
      <c r="Z8" s="8">
        <f>Y10</f>
        <v/>
      </c>
      <c r="AA8" s="8">
        <f>Z10</f>
        <v/>
      </c>
      <c r="AB8" s="8">
        <f>AA10</f>
        <v/>
      </c>
      <c r="AC8" s="8">
        <f>AB10</f>
        <v/>
      </c>
      <c r="AD8" s="8">
        <f>AC10</f>
        <v/>
      </c>
      <c r="AE8" s="8">
        <f>AD10</f>
        <v/>
      </c>
      <c r="AF8" s="8">
        <f>AE10</f>
        <v/>
      </c>
      <c r="AG8" s="8">
        <f>AF10</f>
        <v/>
      </c>
      <c r="AH8" s="8">
        <f>AG10</f>
        <v/>
      </c>
      <c r="AI8" s="8">
        <f>AH10</f>
        <v/>
      </c>
      <c r="AJ8" s="8">
        <f>AI10</f>
        <v/>
      </c>
      <c r="AK8" s="8">
        <f>AJ10</f>
        <v/>
      </c>
      <c r="AL8" s="8">
        <f>AK10</f>
        <v/>
      </c>
      <c r="AM8" s="8">
        <f>AL10</f>
        <v/>
      </c>
      <c r="AN8" s="8">
        <f>AM10</f>
        <v/>
      </c>
      <c r="AO8" s="8">
        <f>AN10</f>
        <v/>
      </c>
      <c r="AP8" s="8">
        <f>AO10</f>
        <v/>
      </c>
      <c r="AQ8" s="8">
        <f>AP10</f>
        <v/>
      </c>
      <c r="AR8" s="8">
        <f>AQ10</f>
        <v/>
      </c>
      <c r="AS8" s="8">
        <f>AR10</f>
        <v/>
      </c>
      <c r="AT8" s="8">
        <f>AS10</f>
        <v/>
      </c>
      <c r="AU8" s="8">
        <f>AT10</f>
        <v/>
      </c>
      <c r="AV8" s="8">
        <f>AU10</f>
        <v/>
      </c>
      <c r="AW8" s="8">
        <f>AV10</f>
        <v/>
      </c>
      <c r="AX8" s="8">
        <f>AW10</f>
        <v/>
      </c>
      <c r="AY8" s="8">
        <f>AX10</f>
        <v/>
      </c>
      <c r="AZ8" s="8">
        <f>AY10</f>
        <v/>
      </c>
      <c r="BA8" s="8">
        <f>AZ10</f>
        <v/>
      </c>
      <c r="BB8" s="8">
        <f>BA10</f>
        <v/>
      </c>
      <c r="BC8" s="8">
        <f>BB10</f>
        <v/>
      </c>
      <c r="BD8" s="8">
        <f>BC10</f>
        <v/>
      </c>
      <c r="BE8" s="8">
        <f>BD10</f>
        <v/>
      </c>
      <c r="BF8" s="8">
        <f>BE10</f>
        <v/>
      </c>
      <c r="BG8" s="8">
        <f>BF10</f>
        <v/>
      </c>
      <c r="BH8" s="8">
        <f>BG10</f>
        <v/>
      </c>
      <c r="BI8" s="8">
        <f>BH10</f>
        <v/>
      </c>
    </row>
    <row r="9">
      <c r="A9" t="inlineStr">
        <is>
          <t>SuguDesk解約</t>
        </is>
      </c>
      <c r="B9" s="8">
        <f>ROUNDDOWN(B8*'前提'!$B$8,0)</f>
        <v/>
      </c>
      <c r="C9" s="8">
        <f>ROUNDDOWN(C8*'前提'!$B$8,0)</f>
        <v/>
      </c>
      <c r="D9" s="8">
        <f>ROUNDDOWN(D8*'前提'!$B$8,0)</f>
        <v/>
      </c>
      <c r="E9" s="8">
        <f>ROUNDDOWN(E8*'前提'!$B$8,0)</f>
        <v/>
      </c>
      <c r="F9" s="8">
        <f>ROUNDDOWN(F8*'前提'!$B$8,0)</f>
        <v/>
      </c>
      <c r="G9" s="8">
        <f>ROUNDDOWN(G8*'前提'!$B$8,0)</f>
        <v/>
      </c>
      <c r="H9" s="8">
        <f>ROUNDDOWN(H8*'前提'!$B$8,0)</f>
        <v/>
      </c>
      <c r="I9" s="8">
        <f>ROUNDDOWN(I8*'前提'!$B$8,0)</f>
        <v/>
      </c>
      <c r="J9" s="8">
        <f>ROUNDDOWN(J8*'前提'!$B$8,0)</f>
        <v/>
      </c>
      <c r="K9" s="8">
        <f>ROUNDDOWN(K8*'前提'!$B$8,0)</f>
        <v/>
      </c>
      <c r="L9" s="8">
        <f>ROUNDDOWN(L8*'前提'!$B$8,0)</f>
        <v/>
      </c>
      <c r="M9" s="8">
        <f>ROUNDDOWN(M8*'前提'!$B$8,0)</f>
        <v/>
      </c>
      <c r="N9" s="8">
        <f>ROUNDDOWN(N8*'前提'!$B$8,0)</f>
        <v/>
      </c>
      <c r="O9" s="8">
        <f>ROUNDDOWN(O8*'前提'!$B$8,0)</f>
        <v/>
      </c>
      <c r="P9" s="8">
        <f>ROUNDDOWN(P8*'前提'!$B$8,0)</f>
        <v/>
      </c>
      <c r="Q9" s="8">
        <f>ROUNDDOWN(Q8*'前提'!$B$8,0)</f>
        <v/>
      </c>
      <c r="R9" s="8">
        <f>ROUNDDOWN(R8*'前提'!$B$8,0)</f>
        <v/>
      </c>
      <c r="S9" s="8">
        <f>ROUNDDOWN(S8*'前提'!$B$8,0)</f>
        <v/>
      </c>
      <c r="T9" s="8">
        <f>ROUNDDOWN(T8*'前提'!$B$8,0)</f>
        <v/>
      </c>
      <c r="U9" s="8">
        <f>ROUNDDOWN(U8*'前提'!$B$8,0)</f>
        <v/>
      </c>
      <c r="V9" s="8">
        <f>ROUNDDOWN(V8*'前提'!$B$8,0)</f>
        <v/>
      </c>
      <c r="W9" s="8">
        <f>ROUNDDOWN(W8*'前提'!$B$8,0)</f>
        <v/>
      </c>
      <c r="X9" s="8">
        <f>ROUNDDOWN(X8*'前提'!$B$8,0)</f>
        <v/>
      </c>
      <c r="Y9" s="8">
        <f>ROUNDDOWN(Y8*'前提'!$B$8,0)</f>
        <v/>
      </c>
      <c r="Z9" s="8">
        <f>ROUNDDOWN(Z8*'前提'!$B$8,0)</f>
        <v/>
      </c>
      <c r="AA9" s="8">
        <f>ROUNDDOWN(AA8*'前提'!$B$8,0)</f>
        <v/>
      </c>
      <c r="AB9" s="8">
        <f>ROUNDDOWN(AB8*'前提'!$B$8,0)</f>
        <v/>
      </c>
      <c r="AC9" s="8">
        <f>ROUNDDOWN(AC8*'前提'!$B$8,0)</f>
        <v/>
      </c>
      <c r="AD9" s="8">
        <f>ROUNDDOWN(AD8*'前提'!$B$8,0)</f>
        <v/>
      </c>
      <c r="AE9" s="8">
        <f>ROUNDDOWN(AE8*'前提'!$B$8,0)</f>
        <v/>
      </c>
      <c r="AF9" s="8">
        <f>ROUNDDOWN(AF8*'前提'!$B$8,0)</f>
        <v/>
      </c>
      <c r="AG9" s="8">
        <f>ROUNDDOWN(AG8*'前提'!$B$8,0)</f>
        <v/>
      </c>
      <c r="AH9" s="8">
        <f>ROUNDDOWN(AH8*'前提'!$B$8,0)</f>
        <v/>
      </c>
      <c r="AI9" s="8">
        <f>ROUNDDOWN(AI8*'前提'!$B$8,0)</f>
        <v/>
      </c>
      <c r="AJ9" s="8">
        <f>ROUNDDOWN(AJ8*'前提'!$B$8,0)</f>
        <v/>
      </c>
      <c r="AK9" s="8">
        <f>ROUNDDOWN(AK8*'前提'!$B$8,0)</f>
        <v/>
      </c>
      <c r="AL9" s="8">
        <f>ROUNDDOWN(AL8*'前提'!$B$8,0)</f>
        <v/>
      </c>
      <c r="AM9" s="8">
        <f>ROUNDDOWN(AM8*'前提'!$B$8,0)</f>
        <v/>
      </c>
      <c r="AN9" s="8">
        <f>ROUNDDOWN(AN8*'前提'!$B$8,0)</f>
        <v/>
      </c>
      <c r="AO9" s="8">
        <f>ROUNDDOWN(AO8*'前提'!$B$8,0)</f>
        <v/>
      </c>
      <c r="AP9" s="8">
        <f>ROUNDDOWN(AP8*'前提'!$B$8,0)</f>
        <v/>
      </c>
      <c r="AQ9" s="8">
        <f>ROUNDDOWN(AQ8*'前提'!$B$8,0)</f>
        <v/>
      </c>
      <c r="AR9" s="8">
        <f>ROUNDDOWN(AR8*'前提'!$B$8,0)</f>
        <v/>
      </c>
      <c r="AS9" s="8">
        <f>ROUNDDOWN(AS8*'前提'!$B$8,0)</f>
        <v/>
      </c>
      <c r="AT9" s="8">
        <f>ROUNDDOWN(AT8*'前提'!$B$8,0)</f>
        <v/>
      </c>
      <c r="AU9" s="8">
        <f>ROUNDDOWN(AU8*'前提'!$B$8,0)</f>
        <v/>
      </c>
      <c r="AV9" s="8">
        <f>ROUNDDOWN(AV8*'前提'!$B$8,0)</f>
        <v/>
      </c>
      <c r="AW9" s="8">
        <f>ROUNDDOWN(AW8*'前提'!$B$8,0)</f>
        <v/>
      </c>
      <c r="AX9" s="8">
        <f>ROUNDDOWN(AX8*'前提'!$B$8,0)</f>
        <v/>
      </c>
      <c r="AY9" s="8">
        <f>ROUNDDOWN(AY8*'前提'!$B$8,0)</f>
        <v/>
      </c>
      <c r="AZ9" s="8">
        <f>ROUNDDOWN(AZ8*'前提'!$B$8,0)</f>
        <v/>
      </c>
      <c r="BA9" s="8">
        <f>ROUNDDOWN(BA8*'前提'!$B$8,0)</f>
        <v/>
      </c>
      <c r="BB9" s="8">
        <f>ROUNDDOWN(BB8*'前提'!$B$8,0)</f>
        <v/>
      </c>
      <c r="BC9" s="8">
        <f>ROUNDDOWN(BC8*'前提'!$B$8,0)</f>
        <v/>
      </c>
      <c r="BD9" s="8">
        <f>ROUNDDOWN(BD8*'前提'!$B$8,0)</f>
        <v/>
      </c>
      <c r="BE9" s="8">
        <f>ROUNDDOWN(BE8*'前提'!$B$8,0)</f>
        <v/>
      </c>
      <c r="BF9" s="8">
        <f>ROUNDDOWN(BF8*'前提'!$B$8,0)</f>
        <v/>
      </c>
      <c r="BG9" s="8">
        <f>ROUNDDOWN(BG8*'前提'!$B$8,0)</f>
        <v/>
      </c>
      <c r="BH9" s="8">
        <f>ROUNDDOWN(BH8*'前提'!$B$8,0)</f>
        <v/>
      </c>
      <c r="BI9" s="8">
        <f>ROUNDDOWN(BI8*'前提'!$B$8,0)</f>
        <v/>
      </c>
    </row>
    <row r="10">
      <c r="A10" t="inlineStr">
        <is>
          <t>SuguDesk期末</t>
        </is>
      </c>
      <c r="B10" s="8">
        <f>B8+B5-B9</f>
        <v/>
      </c>
      <c r="C10" s="8">
        <f>C8+C5-C9</f>
        <v/>
      </c>
      <c r="D10" s="8">
        <f>D8+D5-D9</f>
        <v/>
      </c>
      <c r="E10" s="8">
        <f>E8+E5-E9</f>
        <v/>
      </c>
      <c r="F10" s="8">
        <f>F8+F5-F9</f>
        <v/>
      </c>
      <c r="G10" s="8">
        <f>G8+G5-G9</f>
        <v/>
      </c>
      <c r="H10" s="8">
        <f>H8+H5-H9</f>
        <v/>
      </c>
      <c r="I10" s="8">
        <f>I8+I5-I9</f>
        <v/>
      </c>
      <c r="J10" s="8">
        <f>J8+J5-J9</f>
        <v/>
      </c>
      <c r="K10" s="8">
        <f>K8+K5-K9</f>
        <v/>
      </c>
      <c r="L10" s="8">
        <f>L8+L5-L9</f>
        <v/>
      </c>
      <c r="M10" s="8">
        <f>M8+M5-M9</f>
        <v/>
      </c>
      <c r="N10" s="8">
        <f>N8+N5-N9</f>
        <v/>
      </c>
      <c r="O10" s="8">
        <f>O8+O5-O9</f>
        <v/>
      </c>
      <c r="P10" s="8">
        <f>P8+P5-P9</f>
        <v/>
      </c>
      <c r="Q10" s="8">
        <f>Q8+Q5-Q9</f>
        <v/>
      </c>
      <c r="R10" s="8">
        <f>R8+R5-R9</f>
        <v/>
      </c>
      <c r="S10" s="8">
        <f>S8+S5-S9</f>
        <v/>
      </c>
      <c r="T10" s="8">
        <f>T8+T5-T9</f>
        <v/>
      </c>
      <c r="U10" s="8">
        <f>U8+U5-U9</f>
        <v/>
      </c>
      <c r="V10" s="8">
        <f>V8+V5-V9</f>
        <v/>
      </c>
      <c r="W10" s="8">
        <f>W8+W5-W9</f>
        <v/>
      </c>
      <c r="X10" s="8">
        <f>X8+X5-X9</f>
        <v/>
      </c>
      <c r="Y10" s="8">
        <f>Y8+Y5-Y9</f>
        <v/>
      </c>
      <c r="Z10" s="8">
        <f>Z8+Z5-Z9</f>
        <v/>
      </c>
      <c r="AA10" s="8">
        <f>AA8+AA5-AA9</f>
        <v/>
      </c>
      <c r="AB10" s="8">
        <f>AB8+AB5-AB9</f>
        <v/>
      </c>
      <c r="AC10" s="8">
        <f>AC8+AC5-AC9</f>
        <v/>
      </c>
      <c r="AD10" s="8">
        <f>AD8+AD5-AD9</f>
        <v/>
      </c>
      <c r="AE10" s="8">
        <f>AE8+AE5-AE9</f>
        <v/>
      </c>
      <c r="AF10" s="8">
        <f>AF8+AF5-AF9</f>
        <v/>
      </c>
      <c r="AG10" s="8">
        <f>AG8+AG5-AG9</f>
        <v/>
      </c>
      <c r="AH10" s="8">
        <f>AH8+AH5-AH9</f>
        <v/>
      </c>
      <c r="AI10" s="8">
        <f>AI8+AI5-AI9</f>
        <v/>
      </c>
      <c r="AJ10" s="8">
        <f>AJ8+AJ5-AJ9</f>
        <v/>
      </c>
      <c r="AK10" s="8">
        <f>AK8+AK5-AK9</f>
        <v/>
      </c>
      <c r="AL10" s="8">
        <f>AL8+AL5-AL9</f>
        <v/>
      </c>
      <c r="AM10" s="8">
        <f>AM8+AM5-AM9</f>
        <v/>
      </c>
      <c r="AN10" s="8">
        <f>AN8+AN5-AN9</f>
        <v/>
      </c>
      <c r="AO10" s="8">
        <f>AO8+AO5-AO9</f>
        <v/>
      </c>
      <c r="AP10" s="8">
        <f>AP8+AP5-AP9</f>
        <v/>
      </c>
      <c r="AQ10" s="8">
        <f>AQ8+AQ5-AQ9</f>
        <v/>
      </c>
      <c r="AR10" s="8">
        <f>AR8+AR5-AR9</f>
        <v/>
      </c>
      <c r="AS10" s="8">
        <f>AS8+AS5-AS9</f>
        <v/>
      </c>
      <c r="AT10" s="8">
        <f>AT8+AT5-AT9</f>
        <v/>
      </c>
      <c r="AU10" s="8">
        <f>AU8+AU5-AU9</f>
        <v/>
      </c>
      <c r="AV10" s="8">
        <f>AV8+AV5-AV9</f>
        <v/>
      </c>
      <c r="AW10" s="8">
        <f>AW8+AW5-AW9</f>
        <v/>
      </c>
      <c r="AX10" s="8">
        <f>AX8+AX5-AX9</f>
        <v/>
      </c>
      <c r="AY10" s="8">
        <f>AY8+AY5-AY9</f>
        <v/>
      </c>
      <c r="AZ10" s="8">
        <f>AZ8+AZ5-AZ9</f>
        <v/>
      </c>
      <c r="BA10" s="8">
        <f>BA8+BA5-BA9</f>
        <v/>
      </c>
      <c r="BB10" s="8">
        <f>BB8+BB5-BB9</f>
        <v/>
      </c>
      <c r="BC10" s="8">
        <f>BC8+BC5-BC9</f>
        <v/>
      </c>
      <c r="BD10" s="8">
        <f>BD8+BD5-BD9</f>
        <v/>
      </c>
      <c r="BE10" s="8">
        <f>BE8+BE5-BE9</f>
        <v/>
      </c>
      <c r="BF10" s="8">
        <f>BF8+BF5-BF9</f>
        <v/>
      </c>
      <c r="BG10" s="8">
        <f>BG8+BG5-BG9</f>
        <v/>
      </c>
      <c r="BH10" s="8">
        <f>BH8+BH5-BH9</f>
        <v/>
      </c>
      <c r="BI10" s="8">
        <f>BI8+BI5-BI9</f>
        <v/>
      </c>
    </row>
    <row r="11">
      <c r="A11" t="inlineStr">
        <is>
          <t>BPO新規転換</t>
        </is>
      </c>
      <c r="B11" s="8">
        <f>IF(1&gt;=7,ROUNDDOWN(B10*(IF(1&lt;=6,'前提'!$B$67,IF(1&lt;=12,'前提'!$B$68,IF(1&lt;=18,'前提'!$B$69,IF(1&lt;=24,'前提'!$B$70,IF(1&lt;=36,'前提'!$B$71,IF(1&lt;=48,'前提'!$B$72,'前提'!$B$73))))))),0),0)</f>
        <v/>
      </c>
      <c r="C11" s="8">
        <f>IF(2&gt;=7,ROUNDDOWN(C10*(IF(2&lt;=6,'前提'!$B$67,IF(2&lt;=12,'前提'!$B$68,IF(2&lt;=18,'前提'!$B$69,IF(2&lt;=24,'前提'!$B$70,IF(2&lt;=36,'前提'!$B$71,IF(2&lt;=48,'前提'!$B$72,'前提'!$B$73))))))),0),0)</f>
        <v/>
      </c>
      <c r="D11" s="8">
        <f>IF(3&gt;=7,ROUNDDOWN(D10*(IF(3&lt;=6,'前提'!$B$67,IF(3&lt;=12,'前提'!$B$68,IF(3&lt;=18,'前提'!$B$69,IF(3&lt;=24,'前提'!$B$70,IF(3&lt;=36,'前提'!$B$71,IF(3&lt;=48,'前提'!$B$72,'前提'!$B$73))))))),0),0)</f>
        <v/>
      </c>
      <c r="E11" s="8">
        <f>IF(4&gt;=7,ROUNDDOWN(E10*(IF(4&lt;=6,'前提'!$B$67,IF(4&lt;=12,'前提'!$B$68,IF(4&lt;=18,'前提'!$B$69,IF(4&lt;=24,'前提'!$B$70,IF(4&lt;=36,'前提'!$B$71,IF(4&lt;=48,'前提'!$B$72,'前提'!$B$73))))))),0),0)</f>
        <v/>
      </c>
      <c r="F11" s="8">
        <f>IF(5&gt;=7,ROUNDDOWN(F10*(IF(5&lt;=6,'前提'!$B$67,IF(5&lt;=12,'前提'!$B$68,IF(5&lt;=18,'前提'!$B$69,IF(5&lt;=24,'前提'!$B$70,IF(5&lt;=36,'前提'!$B$71,IF(5&lt;=48,'前提'!$B$72,'前提'!$B$73))))))),0),0)</f>
        <v/>
      </c>
      <c r="G11" s="8">
        <f>IF(6&gt;=7,ROUNDDOWN(G10*(IF(6&lt;=6,'前提'!$B$67,IF(6&lt;=12,'前提'!$B$68,IF(6&lt;=18,'前提'!$B$69,IF(6&lt;=24,'前提'!$B$70,IF(6&lt;=36,'前提'!$B$71,IF(6&lt;=48,'前提'!$B$72,'前提'!$B$73))))))),0),0)</f>
        <v/>
      </c>
      <c r="H11" s="8">
        <f>IF(7&gt;=7,ROUNDDOWN(H10*(IF(7&lt;=6,'前提'!$B$67,IF(7&lt;=12,'前提'!$B$68,IF(7&lt;=18,'前提'!$B$69,IF(7&lt;=24,'前提'!$B$70,IF(7&lt;=36,'前提'!$B$71,IF(7&lt;=48,'前提'!$B$72,'前提'!$B$73))))))),0),0)</f>
        <v/>
      </c>
      <c r="I11" s="8">
        <f>IF(8&gt;=7,ROUNDDOWN(I10*(IF(8&lt;=6,'前提'!$B$67,IF(8&lt;=12,'前提'!$B$68,IF(8&lt;=18,'前提'!$B$69,IF(8&lt;=24,'前提'!$B$70,IF(8&lt;=36,'前提'!$B$71,IF(8&lt;=48,'前提'!$B$72,'前提'!$B$73))))))),0),0)</f>
        <v/>
      </c>
      <c r="J11" s="8">
        <f>IF(9&gt;=7,ROUNDDOWN(J10*(IF(9&lt;=6,'前提'!$B$67,IF(9&lt;=12,'前提'!$B$68,IF(9&lt;=18,'前提'!$B$69,IF(9&lt;=24,'前提'!$B$70,IF(9&lt;=36,'前提'!$B$71,IF(9&lt;=48,'前提'!$B$72,'前提'!$B$73))))))),0),0)</f>
        <v/>
      </c>
      <c r="K11" s="8">
        <f>IF(10&gt;=7,ROUNDDOWN(K10*(IF(10&lt;=6,'前提'!$B$67,IF(10&lt;=12,'前提'!$B$68,IF(10&lt;=18,'前提'!$B$69,IF(10&lt;=24,'前提'!$B$70,IF(10&lt;=36,'前提'!$B$71,IF(10&lt;=48,'前提'!$B$72,'前提'!$B$73))))))),0),0)</f>
        <v/>
      </c>
      <c r="L11" s="8">
        <f>IF(11&gt;=7,ROUNDDOWN(L10*(IF(11&lt;=6,'前提'!$B$67,IF(11&lt;=12,'前提'!$B$68,IF(11&lt;=18,'前提'!$B$69,IF(11&lt;=24,'前提'!$B$70,IF(11&lt;=36,'前提'!$B$71,IF(11&lt;=48,'前提'!$B$72,'前提'!$B$73))))))),0),0)</f>
        <v/>
      </c>
      <c r="M11" s="8">
        <f>IF(12&gt;=7,ROUNDDOWN(M10*(IF(12&lt;=6,'前提'!$B$67,IF(12&lt;=12,'前提'!$B$68,IF(12&lt;=18,'前提'!$B$69,IF(12&lt;=24,'前提'!$B$70,IF(12&lt;=36,'前提'!$B$71,IF(12&lt;=48,'前提'!$B$72,'前提'!$B$73))))))),0),0)</f>
        <v/>
      </c>
      <c r="N11" s="8">
        <f>IF(13&gt;=7,ROUNDDOWN(N10*(IF(13&lt;=6,'前提'!$B$67,IF(13&lt;=12,'前提'!$B$68,IF(13&lt;=18,'前提'!$B$69,IF(13&lt;=24,'前提'!$B$70,IF(13&lt;=36,'前提'!$B$71,IF(13&lt;=48,'前提'!$B$72,'前提'!$B$73))))))),0),0)</f>
        <v/>
      </c>
      <c r="O11" s="8">
        <f>IF(14&gt;=7,ROUNDDOWN(O10*(IF(14&lt;=6,'前提'!$B$67,IF(14&lt;=12,'前提'!$B$68,IF(14&lt;=18,'前提'!$B$69,IF(14&lt;=24,'前提'!$B$70,IF(14&lt;=36,'前提'!$B$71,IF(14&lt;=48,'前提'!$B$72,'前提'!$B$73))))))),0),0)</f>
        <v/>
      </c>
      <c r="P11" s="8">
        <f>IF(15&gt;=7,ROUNDDOWN(P10*(IF(15&lt;=6,'前提'!$B$67,IF(15&lt;=12,'前提'!$B$68,IF(15&lt;=18,'前提'!$B$69,IF(15&lt;=24,'前提'!$B$70,IF(15&lt;=36,'前提'!$B$71,IF(15&lt;=48,'前提'!$B$72,'前提'!$B$73))))))),0),0)</f>
        <v/>
      </c>
      <c r="Q11" s="8">
        <f>IF(16&gt;=7,ROUNDDOWN(Q10*(IF(16&lt;=6,'前提'!$B$67,IF(16&lt;=12,'前提'!$B$68,IF(16&lt;=18,'前提'!$B$69,IF(16&lt;=24,'前提'!$B$70,IF(16&lt;=36,'前提'!$B$71,IF(16&lt;=48,'前提'!$B$72,'前提'!$B$73))))))),0),0)</f>
        <v/>
      </c>
      <c r="R11" s="8">
        <f>IF(17&gt;=7,ROUNDDOWN(R10*(IF(17&lt;=6,'前提'!$B$67,IF(17&lt;=12,'前提'!$B$68,IF(17&lt;=18,'前提'!$B$69,IF(17&lt;=24,'前提'!$B$70,IF(17&lt;=36,'前提'!$B$71,IF(17&lt;=48,'前提'!$B$72,'前提'!$B$73))))))),0),0)</f>
        <v/>
      </c>
      <c r="S11" s="8">
        <f>IF(18&gt;=7,ROUNDDOWN(S10*(IF(18&lt;=6,'前提'!$B$67,IF(18&lt;=12,'前提'!$B$68,IF(18&lt;=18,'前提'!$B$69,IF(18&lt;=24,'前提'!$B$70,IF(18&lt;=36,'前提'!$B$71,IF(18&lt;=48,'前提'!$B$72,'前提'!$B$73))))))),0),0)</f>
        <v/>
      </c>
      <c r="T11" s="8">
        <f>IF(19&gt;=7,ROUNDDOWN(T10*(IF(19&lt;=6,'前提'!$B$67,IF(19&lt;=12,'前提'!$B$68,IF(19&lt;=18,'前提'!$B$69,IF(19&lt;=24,'前提'!$B$70,IF(19&lt;=36,'前提'!$B$71,IF(19&lt;=48,'前提'!$B$72,'前提'!$B$73))))))),0),0)</f>
        <v/>
      </c>
      <c r="U11" s="8">
        <f>IF(20&gt;=7,ROUNDDOWN(U10*(IF(20&lt;=6,'前提'!$B$67,IF(20&lt;=12,'前提'!$B$68,IF(20&lt;=18,'前提'!$B$69,IF(20&lt;=24,'前提'!$B$70,IF(20&lt;=36,'前提'!$B$71,IF(20&lt;=48,'前提'!$B$72,'前提'!$B$73))))))),0),0)</f>
        <v/>
      </c>
      <c r="V11" s="8">
        <f>IF(21&gt;=7,ROUNDDOWN(V10*(IF(21&lt;=6,'前提'!$B$67,IF(21&lt;=12,'前提'!$B$68,IF(21&lt;=18,'前提'!$B$69,IF(21&lt;=24,'前提'!$B$70,IF(21&lt;=36,'前提'!$B$71,IF(21&lt;=48,'前提'!$B$72,'前提'!$B$73))))))),0),0)</f>
        <v/>
      </c>
      <c r="W11" s="8">
        <f>IF(22&gt;=7,ROUNDDOWN(W10*(IF(22&lt;=6,'前提'!$B$67,IF(22&lt;=12,'前提'!$B$68,IF(22&lt;=18,'前提'!$B$69,IF(22&lt;=24,'前提'!$B$70,IF(22&lt;=36,'前提'!$B$71,IF(22&lt;=48,'前提'!$B$72,'前提'!$B$73))))))),0),0)</f>
        <v/>
      </c>
      <c r="X11" s="8">
        <f>IF(23&gt;=7,ROUNDDOWN(X10*(IF(23&lt;=6,'前提'!$B$67,IF(23&lt;=12,'前提'!$B$68,IF(23&lt;=18,'前提'!$B$69,IF(23&lt;=24,'前提'!$B$70,IF(23&lt;=36,'前提'!$B$71,IF(23&lt;=48,'前提'!$B$72,'前提'!$B$73))))))),0),0)</f>
        <v/>
      </c>
      <c r="Y11" s="8">
        <f>IF(24&gt;=7,ROUNDDOWN(Y10*(IF(24&lt;=6,'前提'!$B$67,IF(24&lt;=12,'前提'!$B$68,IF(24&lt;=18,'前提'!$B$69,IF(24&lt;=24,'前提'!$B$70,IF(24&lt;=36,'前提'!$B$71,IF(24&lt;=48,'前提'!$B$72,'前提'!$B$73))))))),0),0)</f>
        <v/>
      </c>
      <c r="Z11" s="8">
        <f>IF(25&gt;=7,ROUNDDOWN(Z10*(IF(25&lt;=6,'前提'!$B$67,IF(25&lt;=12,'前提'!$B$68,IF(25&lt;=18,'前提'!$B$69,IF(25&lt;=24,'前提'!$B$70,IF(25&lt;=36,'前提'!$B$71,IF(25&lt;=48,'前提'!$B$72,'前提'!$B$73))))))),0),0)</f>
        <v/>
      </c>
      <c r="AA11" s="8">
        <f>IF(26&gt;=7,ROUNDDOWN(AA10*(IF(26&lt;=6,'前提'!$B$67,IF(26&lt;=12,'前提'!$B$68,IF(26&lt;=18,'前提'!$B$69,IF(26&lt;=24,'前提'!$B$70,IF(26&lt;=36,'前提'!$B$71,IF(26&lt;=48,'前提'!$B$72,'前提'!$B$73))))))),0),0)</f>
        <v/>
      </c>
      <c r="AB11" s="8">
        <f>IF(27&gt;=7,ROUNDDOWN(AB10*(IF(27&lt;=6,'前提'!$B$67,IF(27&lt;=12,'前提'!$B$68,IF(27&lt;=18,'前提'!$B$69,IF(27&lt;=24,'前提'!$B$70,IF(27&lt;=36,'前提'!$B$71,IF(27&lt;=48,'前提'!$B$72,'前提'!$B$73))))))),0),0)</f>
        <v/>
      </c>
      <c r="AC11" s="8">
        <f>IF(28&gt;=7,ROUNDDOWN(AC10*(IF(28&lt;=6,'前提'!$B$67,IF(28&lt;=12,'前提'!$B$68,IF(28&lt;=18,'前提'!$B$69,IF(28&lt;=24,'前提'!$B$70,IF(28&lt;=36,'前提'!$B$71,IF(28&lt;=48,'前提'!$B$72,'前提'!$B$73))))))),0),0)</f>
        <v/>
      </c>
      <c r="AD11" s="8">
        <f>IF(29&gt;=7,ROUNDDOWN(AD10*(IF(29&lt;=6,'前提'!$B$67,IF(29&lt;=12,'前提'!$B$68,IF(29&lt;=18,'前提'!$B$69,IF(29&lt;=24,'前提'!$B$70,IF(29&lt;=36,'前提'!$B$71,IF(29&lt;=48,'前提'!$B$72,'前提'!$B$73))))))),0),0)</f>
        <v/>
      </c>
      <c r="AE11" s="8">
        <f>IF(30&gt;=7,ROUNDDOWN(AE10*(IF(30&lt;=6,'前提'!$B$67,IF(30&lt;=12,'前提'!$B$68,IF(30&lt;=18,'前提'!$B$69,IF(30&lt;=24,'前提'!$B$70,IF(30&lt;=36,'前提'!$B$71,IF(30&lt;=48,'前提'!$B$72,'前提'!$B$73))))))),0),0)</f>
        <v/>
      </c>
      <c r="AF11" s="8">
        <f>IF(31&gt;=7,ROUNDDOWN(AF10*(IF(31&lt;=6,'前提'!$B$67,IF(31&lt;=12,'前提'!$B$68,IF(31&lt;=18,'前提'!$B$69,IF(31&lt;=24,'前提'!$B$70,IF(31&lt;=36,'前提'!$B$71,IF(31&lt;=48,'前提'!$B$72,'前提'!$B$73))))))),0),0)</f>
        <v/>
      </c>
      <c r="AG11" s="8">
        <f>IF(32&gt;=7,ROUNDDOWN(AG10*(IF(32&lt;=6,'前提'!$B$67,IF(32&lt;=12,'前提'!$B$68,IF(32&lt;=18,'前提'!$B$69,IF(32&lt;=24,'前提'!$B$70,IF(32&lt;=36,'前提'!$B$71,IF(32&lt;=48,'前提'!$B$72,'前提'!$B$73))))))),0),0)</f>
        <v/>
      </c>
      <c r="AH11" s="8">
        <f>IF(33&gt;=7,ROUNDDOWN(AH10*(IF(33&lt;=6,'前提'!$B$67,IF(33&lt;=12,'前提'!$B$68,IF(33&lt;=18,'前提'!$B$69,IF(33&lt;=24,'前提'!$B$70,IF(33&lt;=36,'前提'!$B$71,IF(33&lt;=48,'前提'!$B$72,'前提'!$B$73))))))),0),0)</f>
        <v/>
      </c>
      <c r="AI11" s="8">
        <f>IF(34&gt;=7,ROUNDDOWN(AI10*(IF(34&lt;=6,'前提'!$B$67,IF(34&lt;=12,'前提'!$B$68,IF(34&lt;=18,'前提'!$B$69,IF(34&lt;=24,'前提'!$B$70,IF(34&lt;=36,'前提'!$B$71,IF(34&lt;=48,'前提'!$B$72,'前提'!$B$73))))))),0),0)</f>
        <v/>
      </c>
      <c r="AJ11" s="8">
        <f>IF(35&gt;=7,ROUNDDOWN(AJ10*(IF(35&lt;=6,'前提'!$B$67,IF(35&lt;=12,'前提'!$B$68,IF(35&lt;=18,'前提'!$B$69,IF(35&lt;=24,'前提'!$B$70,IF(35&lt;=36,'前提'!$B$71,IF(35&lt;=48,'前提'!$B$72,'前提'!$B$73))))))),0),0)</f>
        <v/>
      </c>
      <c r="AK11" s="8">
        <f>IF(36&gt;=7,ROUNDDOWN(AK10*(IF(36&lt;=6,'前提'!$B$67,IF(36&lt;=12,'前提'!$B$68,IF(36&lt;=18,'前提'!$B$69,IF(36&lt;=24,'前提'!$B$70,IF(36&lt;=36,'前提'!$B$71,IF(36&lt;=48,'前提'!$B$72,'前提'!$B$73))))))),0),0)</f>
        <v/>
      </c>
      <c r="AL11" s="8">
        <f>IF(37&gt;=7,ROUNDDOWN(AL10*(IF(37&lt;=6,'前提'!$B$67,IF(37&lt;=12,'前提'!$B$68,IF(37&lt;=18,'前提'!$B$69,IF(37&lt;=24,'前提'!$B$70,IF(37&lt;=36,'前提'!$B$71,IF(37&lt;=48,'前提'!$B$72,'前提'!$B$73))))))),0),0)</f>
        <v/>
      </c>
      <c r="AM11" s="8">
        <f>IF(38&gt;=7,ROUNDDOWN(AM10*(IF(38&lt;=6,'前提'!$B$67,IF(38&lt;=12,'前提'!$B$68,IF(38&lt;=18,'前提'!$B$69,IF(38&lt;=24,'前提'!$B$70,IF(38&lt;=36,'前提'!$B$71,IF(38&lt;=48,'前提'!$B$72,'前提'!$B$73))))))),0),0)</f>
        <v/>
      </c>
      <c r="AN11" s="8">
        <f>IF(39&gt;=7,ROUNDDOWN(AN10*(IF(39&lt;=6,'前提'!$B$67,IF(39&lt;=12,'前提'!$B$68,IF(39&lt;=18,'前提'!$B$69,IF(39&lt;=24,'前提'!$B$70,IF(39&lt;=36,'前提'!$B$71,IF(39&lt;=48,'前提'!$B$72,'前提'!$B$73))))))),0),0)</f>
        <v/>
      </c>
      <c r="AO11" s="8">
        <f>IF(40&gt;=7,ROUNDDOWN(AO10*(IF(40&lt;=6,'前提'!$B$67,IF(40&lt;=12,'前提'!$B$68,IF(40&lt;=18,'前提'!$B$69,IF(40&lt;=24,'前提'!$B$70,IF(40&lt;=36,'前提'!$B$71,IF(40&lt;=48,'前提'!$B$72,'前提'!$B$73))))))),0),0)</f>
        <v/>
      </c>
      <c r="AP11" s="8">
        <f>IF(41&gt;=7,ROUNDDOWN(AP10*(IF(41&lt;=6,'前提'!$B$67,IF(41&lt;=12,'前提'!$B$68,IF(41&lt;=18,'前提'!$B$69,IF(41&lt;=24,'前提'!$B$70,IF(41&lt;=36,'前提'!$B$71,IF(41&lt;=48,'前提'!$B$72,'前提'!$B$73))))))),0),0)</f>
        <v/>
      </c>
      <c r="AQ11" s="8">
        <f>IF(42&gt;=7,ROUNDDOWN(AQ10*(IF(42&lt;=6,'前提'!$B$67,IF(42&lt;=12,'前提'!$B$68,IF(42&lt;=18,'前提'!$B$69,IF(42&lt;=24,'前提'!$B$70,IF(42&lt;=36,'前提'!$B$71,IF(42&lt;=48,'前提'!$B$72,'前提'!$B$73))))))),0),0)</f>
        <v/>
      </c>
      <c r="AR11" s="8">
        <f>IF(43&gt;=7,ROUNDDOWN(AR10*(IF(43&lt;=6,'前提'!$B$67,IF(43&lt;=12,'前提'!$B$68,IF(43&lt;=18,'前提'!$B$69,IF(43&lt;=24,'前提'!$B$70,IF(43&lt;=36,'前提'!$B$71,IF(43&lt;=48,'前提'!$B$72,'前提'!$B$73))))))),0),0)</f>
        <v/>
      </c>
      <c r="AS11" s="8">
        <f>IF(44&gt;=7,ROUNDDOWN(AS10*(IF(44&lt;=6,'前提'!$B$67,IF(44&lt;=12,'前提'!$B$68,IF(44&lt;=18,'前提'!$B$69,IF(44&lt;=24,'前提'!$B$70,IF(44&lt;=36,'前提'!$B$71,IF(44&lt;=48,'前提'!$B$72,'前提'!$B$73))))))),0),0)</f>
        <v/>
      </c>
      <c r="AT11" s="8">
        <f>IF(45&gt;=7,ROUNDDOWN(AT10*(IF(45&lt;=6,'前提'!$B$67,IF(45&lt;=12,'前提'!$B$68,IF(45&lt;=18,'前提'!$B$69,IF(45&lt;=24,'前提'!$B$70,IF(45&lt;=36,'前提'!$B$71,IF(45&lt;=48,'前提'!$B$72,'前提'!$B$73))))))),0),0)</f>
        <v/>
      </c>
      <c r="AU11" s="8">
        <f>IF(46&gt;=7,ROUNDDOWN(AU10*(IF(46&lt;=6,'前提'!$B$67,IF(46&lt;=12,'前提'!$B$68,IF(46&lt;=18,'前提'!$B$69,IF(46&lt;=24,'前提'!$B$70,IF(46&lt;=36,'前提'!$B$71,IF(46&lt;=48,'前提'!$B$72,'前提'!$B$73))))))),0),0)</f>
        <v/>
      </c>
      <c r="AV11" s="8">
        <f>IF(47&gt;=7,ROUNDDOWN(AV10*(IF(47&lt;=6,'前提'!$B$67,IF(47&lt;=12,'前提'!$B$68,IF(47&lt;=18,'前提'!$B$69,IF(47&lt;=24,'前提'!$B$70,IF(47&lt;=36,'前提'!$B$71,IF(47&lt;=48,'前提'!$B$72,'前提'!$B$73))))))),0),0)</f>
        <v/>
      </c>
      <c r="AW11" s="8">
        <f>IF(48&gt;=7,ROUNDDOWN(AW10*(IF(48&lt;=6,'前提'!$B$67,IF(48&lt;=12,'前提'!$B$68,IF(48&lt;=18,'前提'!$B$69,IF(48&lt;=24,'前提'!$B$70,IF(48&lt;=36,'前提'!$B$71,IF(48&lt;=48,'前提'!$B$72,'前提'!$B$73))))))),0),0)</f>
        <v/>
      </c>
      <c r="AX11" s="8">
        <f>IF(49&gt;=7,ROUNDDOWN(AX10*(IF(49&lt;=6,'前提'!$B$67,IF(49&lt;=12,'前提'!$B$68,IF(49&lt;=18,'前提'!$B$69,IF(49&lt;=24,'前提'!$B$70,IF(49&lt;=36,'前提'!$B$71,IF(49&lt;=48,'前提'!$B$72,'前提'!$B$73))))))),0),0)</f>
        <v/>
      </c>
      <c r="AY11" s="8">
        <f>IF(50&gt;=7,ROUNDDOWN(AY10*(IF(50&lt;=6,'前提'!$B$67,IF(50&lt;=12,'前提'!$B$68,IF(50&lt;=18,'前提'!$B$69,IF(50&lt;=24,'前提'!$B$70,IF(50&lt;=36,'前提'!$B$71,IF(50&lt;=48,'前提'!$B$72,'前提'!$B$73))))))),0),0)</f>
        <v/>
      </c>
      <c r="AZ11" s="8">
        <f>IF(51&gt;=7,ROUNDDOWN(AZ10*(IF(51&lt;=6,'前提'!$B$67,IF(51&lt;=12,'前提'!$B$68,IF(51&lt;=18,'前提'!$B$69,IF(51&lt;=24,'前提'!$B$70,IF(51&lt;=36,'前提'!$B$71,IF(51&lt;=48,'前提'!$B$72,'前提'!$B$73))))))),0),0)</f>
        <v/>
      </c>
      <c r="BA11" s="8">
        <f>IF(52&gt;=7,ROUNDDOWN(BA10*(IF(52&lt;=6,'前提'!$B$67,IF(52&lt;=12,'前提'!$B$68,IF(52&lt;=18,'前提'!$B$69,IF(52&lt;=24,'前提'!$B$70,IF(52&lt;=36,'前提'!$B$71,IF(52&lt;=48,'前提'!$B$72,'前提'!$B$73))))))),0),0)</f>
        <v/>
      </c>
      <c r="BB11" s="8">
        <f>IF(53&gt;=7,ROUNDDOWN(BB10*(IF(53&lt;=6,'前提'!$B$67,IF(53&lt;=12,'前提'!$B$68,IF(53&lt;=18,'前提'!$B$69,IF(53&lt;=24,'前提'!$B$70,IF(53&lt;=36,'前提'!$B$71,IF(53&lt;=48,'前提'!$B$72,'前提'!$B$73))))))),0),0)</f>
        <v/>
      </c>
      <c r="BC11" s="8">
        <f>IF(54&gt;=7,ROUNDDOWN(BC10*(IF(54&lt;=6,'前提'!$B$67,IF(54&lt;=12,'前提'!$B$68,IF(54&lt;=18,'前提'!$B$69,IF(54&lt;=24,'前提'!$B$70,IF(54&lt;=36,'前提'!$B$71,IF(54&lt;=48,'前提'!$B$72,'前提'!$B$73))))))),0),0)</f>
        <v/>
      </c>
      <c r="BD11" s="8">
        <f>IF(55&gt;=7,ROUNDDOWN(BD10*(IF(55&lt;=6,'前提'!$B$67,IF(55&lt;=12,'前提'!$B$68,IF(55&lt;=18,'前提'!$B$69,IF(55&lt;=24,'前提'!$B$70,IF(55&lt;=36,'前提'!$B$71,IF(55&lt;=48,'前提'!$B$72,'前提'!$B$73))))))),0),0)</f>
        <v/>
      </c>
      <c r="BE11" s="8">
        <f>IF(56&gt;=7,ROUNDDOWN(BE10*(IF(56&lt;=6,'前提'!$B$67,IF(56&lt;=12,'前提'!$B$68,IF(56&lt;=18,'前提'!$B$69,IF(56&lt;=24,'前提'!$B$70,IF(56&lt;=36,'前提'!$B$71,IF(56&lt;=48,'前提'!$B$72,'前提'!$B$73))))))),0),0)</f>
        <v/>
      </c>
      <c r="BF11" s="8">
        <f>IF(57&gt;=7,ROUNDDOWN(BF10*(IF(57&lt;=6,'前提'!$B$67,IF(57&lt;=12,'前提'!$B$68,IF(57&lt;=18,'前提'!$B$69,IF(57&lt;=24,'前提'!$B$70,IF(57&lt;=36,'前提'!$B$71,IF(57&lt;=48,'前提'!$B$72,'前提'!$B$73))))))),0),0)</f>
        <v/>
      </c>
      <c r="BG11" s="8">
        <f>IF(58&gt;=7,ROUNDDOWN(BG10*(IF(58&lt;=6,'前提'!$B$67,IF(58&lt;=12,'前提'!$B$68,IF(58&lt;=18,'前提'!$B$69,IF(58&lt;=24,'前提'!$B$70,IF(58&lt;=36,'前提'!$B$71,IF(58&lt;=48,'前提'!$B$72,'前提'!$B$73))))))),0),0)</f>
        <v/>
      </c>
      <c r="BH11" s="8">
        <f>IF(59&gt;=7,ROUNDDOWN(BH10*(IF(59&lt;=6,'前提'!$B$67,IF(59&lt;=12,'前提'!$B$68,IF(59&lt;=18,'前提'!$B$69,IF(59&lt;=24,'前提'!$B$70,IF(59&lt;=36,'前提'!$B$71,IF(59&lt;=48,'前提'!$B$72,'前提'!$B$73))))))),0),0)</f>
        <v/>
      </c>
      <c r="BI11" s="8">
        <f>IF(60&gt;=7,ROUNDDOWN(BI10*(IF(60&lt;=6,'前提'!$B$67,IF(60&lt;=12,'前提'!$B$68,IF(60&lt;=18,'前提'!$B$69,IF(60&lt;=24,'前提'!$B$70,IF(60&lt;=36,'前提'!$B$71,IF(60&lt;=48,'前提'!$B$72,'前提'!$B$73))))))),0),0)</f>
        <v/>
      </c>
    </row>
    <row r="12">
      <c r="A12" t="inlineStr">
        <is>
          <t>BPO解約</t>
        </is>
      </c>
      <c r="B12" s="8">
        <f>ROUNDDOWN(B13*'前提'!$B$9,0)</f>
        <v/>
      </c>
      <c r="C12" s="8">
        <f>ROUNDDOWN(C13*'前提'!$B$9,0)</f>
        <v/>
      </c>
      <c r="D12" s="8">
        <f>ROUNDDOWN(D13*'前提'!$B$9,0)</f>
        <v/>
      </c>
      <c r="E12" s="8">
        <f>ROUNDDOWN(E13*'前提'!$B$9,0)</f>
        <v/>
      </c>
      <c r="F12" s="8">
        <f>ROUNDDOWN(F13*'前提'!$B$9,0)</f>
        <v/>
      </c>
      <c r="G12" s="8">
        <f>ROUNDDOWN(G13*'前提'!$B$9,0)</f>
        <v/>
      </c>
      <c r="H12" s="8">
        <f>ROUNDDOWN(H13*'前提'!$B$9,0)</f>
        <v/>
      </c>
      <c r="I12" s="8">
        <f>ROUNDDOWN(I13*'前提'!$B$9,0)</f>
        <v/>
      </c>
      <c r="J12" s="8">
        <f>ROUNDDOWN(J13*'前提'!$B$9,0)</f>
        <v/>
      </c>
      <c r="K12" s="8">
        <f>ROUNDDOWN(K13*'前提'!$B$9,0)</f>
        <v/>
      </c>
      <c r="L12" s="8">
        <f>ROUNDDOWN(L13*'前提'!$B$9,0)</f>
        <v/>
      </c>
      <c r="M12" s="8">
        <f>ROUNDDOWN(M13*'前提'!$B$9,0)</f>
        <v/>
      </c>
      <c r="N12" s="8">
        <f>ROUNDDOWN(N13*'前提'!$B$9,0)</f>
        <v/>
      </c>
      <c r="O12" s="8">
        <f>ROUNDDOWN(O13*'前提'!$B$9,0)</f>
        <v/>
      </c>
      <c r="P12" s="8">
        <f>ROUNDDOWN(P13*'前提'!$B$9,0)</f>
        <v/>
      </c>
      <c r="Q12" s="8">
        <f>ROUNDDOWN(Q13*'前提'!$B$9,0)</f>
        <v/>
      </c>
      <c r="R12" s="8">
        <f>ROUNDDOWN(R13*'前提'!$B$9,0)</f>
        <v/>
      </c>
      <c r="S12" s="8">
        <f>ROUNDDOWN(S13*'前提'!$B$9,0)</f>
        <v/>
      </c>
      <c r="T12" s="8">
        <f>ROUNDDOWN(T13*'前提'!$B$9,0)</f>
        <v/>
      </c>
      <c r="U12" s="8">
        <f>ROUNDDOWN(U13*'前提'!$B$9,0)</f>
        <v/>
      </c>
      <c r="V12" s="8">
        <f>ROUNDDOWN(V13*'前提'!$B$9,0)</f>
        <v/>
      </c>
      <c r="W12" s="8">
        <f>ROUNDDOWN(W13*'前提'!$B$9,0)</f>
        <v/>
      </c>
      <c r="X12" s="8">
        <f>ROUNDDOWN(X13*'前提'!$B$9,0)</f>
        <v/>
      </c>
      <c r="Y12" s="8">
        <f>ROUNDDOWN(Y13*'前提'!$B$9,0)</f>
        <v/>
      </c>
      <c r="Z12" s="8">
        <f>ROUNDDOWN(Z13*'前提'!$B$9,0)</f>
        <v/>
      </c>
      <c r="AA12" s="8">
        <f>ROUNDDOWN(AA13*'前提'!$B$9,0)</f>
        <v/>
      </c>
      <c r="AB12" s="8">
        <f>ROUNDDOWN(AB13*'前提'!$B$9,0)</f>
        <v/>
      </c>
      <c r="AC12" s="8">
        <f>ROUNDDOWN(AC13*'前提'!$B$9,0)</f>
        <v/>
      </c>
      <c r="AD12" s="8">
        <f>ROUNDDOWN(AD13*'前提'!$B$9,0)</f>
        <v/>
      </c>
      <c r="AE12" s="8">
        <f>ROUNDDOWN(AE13*'前提'!$B$9,0)</f>
        <v/>
      </c>
      <c r="AF12" s="8">
        <f>ROUNDDOWN(AF13*'前提'!$B$9,0)</f>
        <v/>
      </c>
      <c r="AG12" s="8">
        <f>ROUNDDOWN(AG13*'前提'!$B$9,0)</f>
        <v/>
      </c>
      <c r="AH12" s="8">
        <f>ROUNDDOWN(AH13*'前提'!$B$9,0)</f>
        <v/>
      </c>
      <c r="AI12" s="8">
        <f>ROUNDDOWN(AI13*'前提'!$B$9,0)</f>
        <v/>
      </c>
      <c r="AJ12" s="8">
        <f>ROUNDDOWN(AJ13*'前提'!$B$9,0)</f>
        <v/>
      </c>
      <c r="AK12" s="8">
        <f>ROUNDDOWN(AK13*'前提'!$B$9,0)</f>
        <v/>
      </c>
      <c r="AL12" s="8">
        <f>ROUNDDOWN(AL13*'前提'!$B$9,0)</f>
        <v/>
      </c>
      <c r="AM12" s="8">
        <f>ROUNDDOWN(AM13*'前提'!$B$9,0)</f>
        <v/>
      </c>
      <c r="AN12" s="8">
        <f>ROUNDDOWN(AN13*'前提'!$B$9,0)</f>
        <v/>
      </c>
      <c r="AO12" s="8">
        <f>ROUNDDOWN(AO13*'前提'!$B$9,0)</f>
        <v/>
      </c>
      <c r="AP12" s="8">
        <f>ROUNDDOWN(AP13*'前提'!$B$9,0)</f>
        <v/>
      </c>
      <c r="AQ12" s="8">
        <f>ROUNDDOWN(AQ13*'前提'!$B$9,0)</f>
        <v/>
      </c>
      <c r="AR12" s="8">
        <f>ROUNDDOWN(AR13*'前提'!$B$9,0)</f>
        <v/>
      </c>
      <c r="AS12" s="8">
        <f>ROUNDDOWN(AS13*'前提'!$B$9,0)</f>
        <v/>
      </c>
      <c r="AT12" s="8">
        <f>ROUNDDOWN(AT13*'前提'!$B$9,0)</f>
        <v/>
      </c>
      <c r="AU12" s="8">
        <f>ROUNDDOWN(AU13*'前提'!$B$9,0)</f>
        <v/>
      </c>
      <c r="AV12" s="8">
        <f>ROUNDDOWN(AV13*'前提'!$B$9,0)</f>
        <v/>
      </c>
      <c r="AW12" s="8">
        <f>ROUNDDOWN(AW13*'前提'!$B$9,0)</f>
        <v/>
      </c>
      <c r="AX12" s="8">
        <f>ROUNDDOWN(AX13*'前提'!$B$9,0)</f>
        <v/>
      </c>
      <c r="AY12" s="8">
        <f>ROUNDDOWN(AY13*'前提'!$B$9,0)</f>
        <v/>
      </c>
      <c r="AZ12" s="8">
        <f>ROUNDDOWN(AZ13*'前提'!$B$9,0)</f>
        <v/>
      </c>
      <c r="BA12" s="8">
        <f>ROUNDDOWN(BA13*'前提'!$B$9,0)</f>
        <v/>
      </c>
      <c r="BB12" s="8">
        <f>ROUNDDOWN(BB13*'前提'!$B$9,0)</f>
        <v/>
      </c>
      <c r="BC12" s="8">
        <f>ROUNDDOWN(BC13*'前提'!$B$9,0)</f>
        <v/>
      </c>
      <c r="BD12" s="8">
        <f>ROUNDDOWN(BD13*'前提'!$B$9,0)</f>
        <v/>
      </c>
      <c r="BE12" s="8">
        <f>ROUNDDOWN(BE13*'前提'!$B$9,0)</f>
        <v/>
      </c>
      <c r="BF12" s="8">
        <f>ROUNDDOWN(BF13*'前提'!$B$9,0)</f>
        <v/>
      </c>
      <c r="BG12" s="8">
        <f>ROUNDDOWN(BG13*'前提'!$B$9,0)</f>
        <v/>
      </c>
      <c r="BH12" s="8">
        <f>ROUNDDOWN(BH13*'前提'!$B$9,0)</f>
        <v/>
      </c>
      <c r="BI12" s="8">
        <f>ROUNDDOWN(BI13*'前提'!$B$9,0)</f>
        <v/>
      </c>
    </row>
    <row r="13">
      <c r="A13" t="inlineStr">
        <is>
          <t>BPO期首</t>
        </is>
      </c>
      <c r="B13" s="8" t="n">
        <v>0</v>
      </c>
      <c r="C13" s="8">
        <f>B14</f>
        <v/>
      </c>
      <c r="D13" s="8">
        <f>C14</f>
        <v/>
      </c>
      <c r="E13" s="8">
        <f>D14</f>
        <v/>
      </c>
      <c r="F13" s="8">
        <f>E14</f>
        <v/>
      </c>
      <c r="G13" s="8">
        <f>F14</f>
        <v/>
      </c>
      <c r="H13" s="8">
        <f>G14</f>
        <v/>
      </c>
      <c r="I13" s="8">
        <f>H14</f>
        <v/>
      </c>
      <c r="J13" s="8">
        <f>I14</f>
        <v/>
      </c>
      <c r="K13" s="8">
        <f>J14</f>
        <v/>
      </c>
      <c r="L13" s="8">
        <f>K14</f>
        <v/>
      </c>
      <c r="M13" s="8">
        <f>L14</f>
        <v/>
      </c>
      <c r="N13" s="8">
        <f>M14</f>
        <v/>
      </c>
      <c r="O13" s="8">
        <f>N14</f>
        <v/>
      </c>
      <c r="P13" s="8">
        <f>O14</f>
        <v/>
      </c>
      <c r="Q13" s="8">
        <f>P14</f>
        <v/>
      </c>
      <c r="R13" s="8">
        <f>Q14</f>
        <v/>
      </c>
      <c r="S13" s="8">
        <f>R14</f>
        <v/>
      </c>
      <c r="T13" s="8">
        <f>S14</f>
        <v/>
      </c>
      <c r="U13" s="8">
        <f>T14</f>
        <v/>
      </c>
      <c r="V13" s="8">
        <f>U14</f>
        <v/>
      </c>
      <c r="W13" s="8">
        <f>V14</f>
        <v/>
      </c>
      <c r="X13" s="8">
        <f>W14</f>
        <v/>
      </c>
      <c r="Y13" s="8">
        <f>X14</f>
        <v/>
      </c>
      <c r="Z13" s="8">
        <f>Y14</f>
        <v/>
      </c>
      <c r="AA13" s="8">
        <f>Z14</f>
        <v/>
      </c>
      <c r="AB13" s="8">
        <f>AA14</f>
        <v/>
      </c>
      <c r="AC13" s="8">
        <f>AB14</f>
        <v/>
      </c>
      <c r="AD13" s="8">
        <f>AC14</f>
        <v/>
      </c>
      <c r="AE13" s="8">
        <f>AD14</f>
        <v/>
      </c>
      <c r="AF13" s="8">
        <f>AE14</f>
        <v/>
      </c>
      <c r="AG13" s="8">
        <f>AF14</f>
        <v/>
      </c>
      <c r="AH13" s="8">
        <f>AG14</f>
        <v/>
      </c>
      <c r="AI13" s="8">
        <f>AH14</f>
        <v/>
      </c>
      <c r="AJ13" s="8">
        <f>AI14</f>
        <v/>
      </c>
      <c r="AK13" s="8">
        <f>AJ14</f>
        <v/>
      </c>
      <c r="AL13" s="8">
        <f>AK14</f>
        <v/>
      </c>
      <c r="AM13" s="8">
        <f>AL14</f>
        <v/>
      </c>
      <c r="AN13" s="8">
        <f>AM14</f>
        <v/>
      </c>
      <c r="AO13" s="8">
        <f>AN14</f>
        <v/>
      </c>
      <c r="AP13" s="8">
        <f>AO14</f>
        <v/>
      </c>
      <c r="AQ13" s="8">
        <f>AP14</f>
        <v/>
      </c>
      <c r="AR13" s="8">
        <f>AQ14</f>
        <v/>
      </c>
      <c r="AS13" s="8">
        <f>AR14</f>
        <v/>
      </c>
      <c r="AT13" s="8">
        <f>AS14</f>
        <v/>
      </c>
      <c r="AU13" s="8">
        <f>AT14</f>
        <v/>
      </c>
      <c r="AV13" s="8">
        <f>AU14</f>
        <v/>
      </c>
      <c r="AW13" s="8">
        <f>AV14</f>
        <v/>
      </c>
      <c r="AX13" s="8">
        <f>AW14</f>
        <v/>
      </c>
      <c r="AY13" s="8">
        <f>AX14</f>
        <v/>
      </c>
      <c r="AZ13" s="8">
        <f>AY14</f>
        <v/>
      </c>
      <c r="BA13" s="8">
        <f>AZ14</f>
        <v/>
      </c>
      <c r="BB13" s="8">
        <f>BA14</f>
        <v/>
      </c>
      <c r="BC13" s="8">
        <f>BB14</f>
        <v/>
      </c>
      <c r="BD13" s="8">
        <f>BC14</f>
        <v/>
      </c>
      <c r="BE13" s="8">
        <f>BD14</f>
        <v/>
      </c>
      <c r="BF13" s="8">
        <f>BE14</f>
        <v/>
      </c>
      <c r="BG13" s="8">
        <f>BF14</f>
        <v/>
      </c>
      <c r="BH13" s="8">
        <f>BG14</f>
        <v/>
      </c>
      <c r="BI13" s="8">
        <f>BH14</f>
        <v/>
      </c>
    </row>
    <row r="14">
      <c r="A14" t="inlineStr">
        <is>
          <t>BPO期末</t>
        </is>
      </c>
      <c r="B14" s="8">
        <f>B13+B11-B12</f>
        <v/>
      </c>
      <c r="C14" s="8">
        <f>C13+C11-C12</f>
        <v/>
      </c>
      <c r="D14" s="8">
        <f>D13+D11-D12</f>
        <v/>
      </c>
      <c r="E14" s="8">
        <f>E13+E11-E12</f>
        <v/>
      </c>
      <c r="F14" s="8">
        <f>F13+F11-F12</f>
        <v/>
      </c>
      <c r="G14" s="8">
        <f>G13+G11-G12</f>
        <v/>
      </c>
      <c r="H14" s="8">
        <f>H13+H11-H12</f>
        <v/>
      </c>
      <c r="I14" s="8">
        <f>I13+I11-I12</f>
        <v/>
      </c>
      <c r="J14" s="8">
        <f>J13+J11-J12</f>
        <v/>
      </c>
      <c r="K14" s="8">
        <f>K13+K11-K12</f>
        <v/>
      </c>
      <c r="L14" s="8">
        <f>L13+L11-L12</f>
        <v/>
      </c>
      <c r="M14" s="8">
        <f>M13+M11-M12</f>
        <v/>
      </c>
      <c r="N14" s="8">
        <f>N13+N11-N12</f>
        <v/>
      </c>
      <c r="O14" s="8">
        <f>O13+O11-O12</f>
        <v/>
      </c>
      <c r="P14" s="8">
        <f>P13+P11-P12</f>
        <v/>
      </c>
      <c r="Q14" s="8">
        <f>Q13+Q11-Q12</f>
        <v/>
      </c>
      <c r="R14" s="8">
        <f>R13+R11-R12</f>
        <v/>
      </c>
      <c r="S14" s="8">
        <f>S13+S11-S12</f>
        <v/>
      </c>
      <c r="T14" s="8">
        <f>T13+T11-T12</f>
        <v/>
      </c>
      <c r="U14" s="8">
        <f>U13+U11-U12</f>
        <v/>
      </c>
      <c r="V14" s="8">
        <f>V13+V11-V12</f>
        <v/>
      </c>
      <c r="W14" s="8">
        <f>W13+W11-W12</f>
        <v/>
      </c>
      <c r="X14" s="8">
        <f>X13+X11-X12</f>
        <v/>
      </c>
      <c r="Y14" s="8">
        <f>Y13+Y11-Y12</f>
        <v/>
      </c>
      <c r="Z14" s="8">
        <f>Z13+Z11-Z12</f>
        <v/>
      </c>
      <c r="AA14" s="8">
        <f>AA13+AA11-AA12</f>
        <v/>
      </c>
      <c r="AB14" s="8">
        <f>AB13+AB11-AB12</f>
        <v/>
      </c>
      <c r="AC14" s="8">
        <f>AC13+AC11-AC12</f>
        <v/>
      </c>
      <c r="AD14" s="8">
        <f>AD13+AD11-AD12</f>
        <v/>
      </c>
      <c r="AE14" s="8">
        <f>AE13+AE11-AE12</f>
        <v/>
      </c>
      <c r="AF14" s="8">
        <f>AF13+AF11-AF12</f>
        <v/>
      </c>
      <c r="AG14" s="8">
        <f>AG13+AG11-AG12</f>
        <v/>
      </c>
      <c r="AH14" s="8">
        <f>AH13+AH11-AH12</f>
        <v/>
      </c>
      <c r="AI14" s="8">
        <f>AI13+AI11-AI12</f>
        <v/>
      </c>
      <c r="AJ14" s="8">
        <f>AJ13+AJ11-AJ12</f>
        <v/>
      </c>
      <c r="AK14" s="8">
        <f>AK13+AK11-AK12</f>
        <v/>
      </c>
      <c r="AL14" s="8">
        <f>AL13+AL11-AL12</f>
        <v/>
      </c>
      <c r="AM14" s="8">
        <f>AM13+AM11-AM12</f>
        <v/>
      </c>
      <c r="AN14" s="8">
        <f>AN13+AN11-AN12</f>
        <v/>
      </c>
      <c r="AO14" s="8">
        <f>AO13+AO11-AO12</f>
        <v/>
      </c>
      <c r="AP14" s="8">
        <f>AP13+AP11-AP12</f>
        <v/>
      </c>
      <c r="AQ14" s="8">
        <f>AQ13+AQ11-AQ12</f>
        <v/>
      </c>
      <c r="AR14" s="8">
        <f>AR13+AR11-AR12</f>
        <v/>
      </c>
      <c r="AS14" s="8">
        <f>AS13+AS11-AS12</f>
        <v/>
      </c>
      <c r="AT14" s="8">
        <f>AT13+AT11-AT12</f>
        <v/>
      </c>
      <c r="AU14" s="8">
        <f>AU13+AU11-AU12</f>
        <v/>
      </c>
      <c r="AV14" s="8">
        <f>AV13+AV11-AV12</f>
        <v/>
      </c>
      <c r="AW14" s="8">
        <f>AW13+AW11-AW12</f>
        <v/>
      </c>
      <c r="AX14" s="8">
        <f>AX13+AX11-AX12</f>
        <v/>
      </c>
      <c r="AY14" s="8">
        <f>AY13+AY11-AY12</f>
        <v/>
      </c>
      <c r="AZ14" s="8">
        <f>AZ13+AZ11-AZ12</f>
        <v/>
      </c>
      <c r="BA14" s="8">
        <f>BA13+BA11-BA12</f>
        <v/>
      </c>
      <c r="BB14" s="8">
        <f>BB13+BB11-BB12</f>
        <v/>
      </c>
      <c r="BC14" s="8">
        <f>BC13+BC11-BC12</f>
        <v/>
      </c>
      <c r="BD14" s="8">
        <f>BD13+BD11-BD12</f>
        <v/>
      </c>
      <c r="BE14" s="8">
        <f>BE13+BE11-BE12</f>
        <v/>
      </c>
      <c r="BF14" s="8">
        <f>BF13+BF11-BF12</f>
        <v/>
      </c>
      <c r="BG14" s="8">
        <f>BG13+BG11-BG12</f>
        <v/>
      </c>
      <c r="BH14" s="8">
        <f>BH13+BH11-BH12</f>
        <v/>
      </c>
      <c r="BI14" s="8">
        <f>BI13+BI11-BI12</f>
        <v/>
      </c>
    </row>
    <row r="16">
      <c r="A16" s="16" t="inlineStr">
        <is>
          <t>【売上】</t>
        </is>
      </c>
    </row>
    <row r="17">
      <c r="A17" t="inlineStr">
        <is>
          <t>SuguDesk月額売上</t>
        </is>
      </c>
      <c r="B17" s="5">
        <f>(B8+B5*'前提'!$B$12-B9*'前提'!$B$12)*'前提'!$B$4</f>
        <v/>
      </c>
      <c r="C17" s="5">
        <f>(C8+C5*'前提'!$B$12-C9*'前提'!$B$12)*'前提'!$B$4</f>
        <v/>
      </c>
      <c r="D17" s="5">
        <f>(D8+D5*'前提'!$B$12-D9*'前提'!$B$12)*'前提'!$B$4</f>
        <v/>
      </c>
      <c r="E17" s="5">
        <f>(E8+E5*'前提'!$B$12-E9*'前提'!$B$12)*'前提'!$B$4</f>
        <v/>
      </c>
      <c r="F17" s="5">
        <f>(F8+F5*'前提'!$B$12-F9*'前提'!$B$12)*'前提'!$B$4</f>
        <v/>
      </c>
      <c r="G17" s="5">
        <f>(G8+G5*'前提'!$B$12-G9*'前提'!$B$12)*'前提'!$B$4</f>
        <v/>
      </c>
      <c r="H17" s="5">
        <f>(H8+H5*'前提'!$B$12-H9*'前提'!$B$12)*'前提'!$B$4</f>
        <v/>
      </c>
      <c r="I17" s="5">
        <f>(I8+I5*'前提'!$B$12-I9*'前提'!$B$12)*'前提'!$B$4</f>
        <v/>
      </c>
      <c r="J17" s="5">
        <f>(J8+J5*'前提'!$B$12-J9*'前提'!$B$12)*'前提'!$B$4</f>
        <v/>
      </c>
      <c r="K17" s="5">
        <f>(K8+K5*'前提'!$B$12-K9*'前提'!$B$12)*'前提'!$B$4</f>
        <v/>
      </c>
      <c r="L17" s="5">
        <f>(L8+L5*'前提'!$B$12-L9*'前提'!$B$12)*'前提'!$B$4</f>
        <v/>
      </c>
      <c r="M17" s="5">
        <f>(M8+M5*'前提'!$B$12-M9*'前提'!$B$12)*'前提'!$B$4</f>
        <v/>
      </c>
      <c r="N17" s="5">
        <f>(N8+N5*'前提'!$B$12-N9*'前提'!$B$12)*'前提'!$B$4</f>
        <v/>
      </c>
      <c r="O17" s="5">
        <f>(O8+O5*'前提'!$B$12-O9*'前提'!$B$12)*'前提'!$B$4</f>
        <v/>
      </c>
      <c r="P17" s="5">
        <f>(P8+P5*'前提'!$B$12-P9*'前提'!$B$12)*'前提'!$B$4</f>
        <v/>
      </c>
      <c r="Q17" s="5">
        <f>(Q8+Q5*'前提'!$B$12-Q9*'前提'!$B$12)*'前提'!$B$4</f>
        <v/>
      </c>
      <c r="R17" s="5">
        <f>(R8+R5*'前提'!$B$12-R9*'前提'!$B$12)*'前提'!$B$4</f>
        <v/>
      </c>
      <c r="S17" s="5">
        <f>(S8+S5*'前提'!$B$12-S9*'前提'!$B$12)*'前提'!$B$4</f>
        <v/>
      </c>
      <c r="T17" s="5">
        <f>(T8+T5*'前提'!$B$12-T9*'前提'!$B$12)*'前提'!$B$4</f>
        <v/>
      </c>
      <c r="U17" s="5">
        <f>(U8+U5*'前提'!$B$12-U9*'前提'!$B$12)*'前提'!$B$4</f>
        <v/>
      </c>
      <c r="V17" s="5">
        <f>(V8+V5*'前提'!$B$12-V9*'前提'!$B$12)*'前提'!$B$4</f>
        <v/>
      </c>
      <c r="W17" s="5">
        <f>(W8+W5*'前提'!$B$12-W9*'前提'!$B$12)*'前提'!$B$4</f>
        <v/>
      </c>
      <c r="X17" s="5">
        <f>(X8+X5*'前提'!$B$12-X9*'前提'!$B$12)*'前提'!$B$4</f>
        <v/>
      </c>
      <c r="Y17" s="5">
        <f>(Y8+Y5*'前提'!$B$12-Y9*'前提'!$B$12)*'前提'!$B$4</f>
        <v/>
      </c>
      <c r="Z17" s="5">
        <f>(Z8+Z5*'前提'!$B$12-Z9*'前提'!$B$12)*'前提'!$B$4</f>
        <v/>
      </c>
      <c r="AA17" s="5">
        <f>(AA8+AA5*'前提'!$B$12-AA9*'前提'!$B$12)*'前提'!$B$4</f>
        <v/>
      </c>
      <c r="AB17" s="5">
        <f>(AB8+AB5*'前提'!$B$12-AB9*'前提'!$B$12)*'前提'!$B$4</f>
        <v/>
      </c>
      <c r="AC17" s="5">
        <f>(AC8+AC5*'前提'!$B$12-AC9*'前提'!$B$12)*'前提'!$B$4</f>
        <v/>
      </c>
      <c r="AD17" s="5">
        <f>(AD8+AD5*'前提'!$B$12-AD9*'前提'!$B$12)*'前提'!$B$4</f>
        <v/>
      </c>
      <c r="AE17" s="5">
        <f>(AE8+AE5*'前提'!$B$12-AE9*'前提'!$B$12)*'前提'!$B$4</f>
        <v/>
      </c>
      <c r="AF17" s="5">
        <f>(AF8+AF5*'前提'!$B$12-AF9*'前提'!$B$12)*'前提'!$B$4</f>
        <v/>
      </c>
      <c r="AG17" s="5">
        <f>(AG8+AG5*'前提'!$B$12-AG9*'前提'!$B$12)*'前提'!$B$4</f>
        <v/>
      </c>
      <c r="AH17" s="5">
        <f>(AH8+AH5*'前提'!$B$12-AH9*'前提'!$B$12)*'前提'!$B$4</f>
        <v/>
      </c>
      <c r="AI17" s="5">
        <f>(AI8+AI5*'前提'!$B$12-AI9*'前提'!$B$12)*'前提'!$B$4</f>
        <v/>
      </c>
      <c r="AJ17" s="5">
        <f>(AJ8+AJ5*'前提'!$B$12-AJ9*'前提'!$B$12)*'前提'!$B$4</f>
        <v/>
      </c>
      <c r="AK17" s="5">
        <f>(AK8+AK5*'前提'!$B$12-AK9*'前提'!$B$12)*'前提'!$B$4</f>
        <v/>
      </c>
      <c r="AL17" s="5">
        <f>(AL8+AL5*'前提'!$B$12-AL9*'前提'!$B$12)*'前提'!$B$4</f>
        <v/>
      </c>
      <c r="AM17" s="5">
        <f>(AM8+AM5*'前提'!$B$12-AM9*'前提'!$B$12)*'前提'!$B$4</f>
        <v/>
      </c>
      <c r="AN17" s="5">
        <f>(AN8+AN5*'前提'!$B$12-AN9*'前提'!$B$12)*'前提'!$B$4</f>
        <v/>
      </c>
      <c r="AO17" s="5">
        <f>(AO8+AO5*'前提'!$B$12-AO9*'前提'!$B$12)*'前提'!$B$4</f>
        <v/>
      </c>
      <c r="AP17" s="5">
        <f>(AP8+AP5*'前提'!$B$12-AP9*'前提'!$B$12)*'前提'!$B$4</f>
        <v/>
      </c>
      <c r="AQ17" s="5">
        <f>(AQ8+AQ5*'前提'!$B$12-AQ9*'前提'!$B$12)*'前提'!$B$4</f>
        <v/>
      </c>
      <c r="AR17" s="5">
        <f>(AR8+AR5*'前提'!$B$12-AR9*'前提'!$B$12)*'前提'!$B$4</f>
        <v/>
      </c>
      <c r="AS17" s="5">
        <f>(AS8+AS5*'前提'!$B$12-AS9*'前提'!$B$12)*'前提'!$B$4</f>
        <v/>
      </c>
      <c r="AT17" s="5">
        <f>(AT8+AT5*'前提'!$B$12-AT9*'前提'!$B$12)*'前提'!$B$4</f>
        <v/>
      </c>
      <c r="AU17" s="5">
        <f>(AU8+AU5*'前提'!$B$12-AU9*'前提'!$B$12)*'前提'!$B$4</f>
        <v/>
      </c>
      <c r="AV17" s="5">
        <f>(AV8+AV5*'前提'!$B$12-AV9*'前提'!$B$12)*'前提'!$B$4</f>
        <v/>
      </c>
      <c r="AW17" s="5">
        <f>(AW8+AW5*'前提'!$B$12-AW9*'前提'!$B$12)*'前提'!$B$4</f>
        <v/>
      </c>
      <c r="AX17" s="5">
        <f>(AX8+AX5*'前提'!$B$12-AX9*'前提'!$B$12)*'前提'!$B$4</f>
        <v/>
      </c>
      <c r="AY17" s="5">
        <f>(AY8+AY5*'前提'!$B$12-AY9*'前提'!$B$12)*'前提'!$B$4</f>
        <v/>
      </c>
      <c r="AZ17" s="5">
        <f>(AZ8+AZ5*'前提'!$B$12-AZ9*'前提'!$B$12)*'前提'!$B$4</f>
        <v/>
      </c>
      <c r="BA17" s="5">
        <f>(BA8+BA5*'前提'!$B$12-BA9*'前提'!$B$12)*'前提'!$B$4</f>
        <v/>
      </c>
      <c r="BB17" s="5">
        <f>(BB8+BB5*'前提'!$B$12-BB9*'前提'!$B$12)*'前提'!$B$4</f>
        <v/>
      </c>
      <c r="BC17" s="5">
        <f>(BC8+BC5*'前提'!$B$12-BC9*'前提'!$B$12)*'前提'!$B$4</f>
        <v/>
      </c>
      <c r="BD17" s="5">
        <f>(BD8+BD5*'前提'!$B$12-BD9*'前提'!$B$12)*'前提'!$B$4</f>
        <v/>
      </c>
      <c r="BE17" s="5">
        <f>(BE8+BE5*'前提'!$B$12-BE9*'前提'!$B$12)*'前提'!$B$4</f>
        <v/>
      </c>
      <c r="BF17" s="5">
        <f>(BF8+BF5*'前提'!$B$12-BF9*'前提'!$B$12)*'前提'!$B$4</f>
        <v/>
      </c>
      <c r="BG17" s="5">
        <f>(BG8+BG5*'前提'!$B$12-BG9*'前提'!$B$12)*'前提'!$B$4</f>
        <v/>
      </c>
      <c r="BH17" s="5">
        <f>(BH8+BH5*'前提'!$B$12-BH9*'前提'!$B$12)*'前提'!$B$4</f>
        <v/>
      </c>
      <c r="BI17" s="5">
        <f>(BI8+BI5*'前提'!$B$12-BI9*'前提'!$B$12)*'前提'!$B$4</f>
        <v/>
      </c>
    </row>
    <row r="18">
      <c r="A18" t="inlineStr">
        <is>
          <t>BPO事務長代行売上</t>
        </is>
      </c>
      <c r="B18" s="5">
        <f>(B13+B11*'前提'!$B$12-B12*'前提'!$B$12)*'前提'!$B$6</f>
        <v/>
      </c>
      <c r="C18" s="5">
        <f>(C13+C11*'前提'!$B$12-C12*'前提'!$B$12)*'前提'!$B$6</f>
        <v/>
      </c>
      <c r="D18" s="5">
        <f>(D13+D11*'前提'!$B$12-D12*'前提'!$B$12)*'前提'!$B$6</f>
        <v/>
      </c>
      <c r="E18" s="5">
        <f>(E13+E11*'前提'!$B$12-E12*'前提'!$B$12)*'前提'!$B$6</f>
        <v/>
      </c>
      <c r="F18" s="5">
        <f>(F13+F11*'前提'!$B$12-F12*'前提'!$B$12)*'前提'!$B$6</f>
        <v/>
      </c>
      <c r="G18" s="5">
        <f>(G13+G11*'前提'!$B$12-G12*'前提'!$B$12)*'前提'!$B$6</f>
        <v/>
      </c>
      <c r="H18" s="5">
        <f>(H13+H11*'前提'!$B$12-H12*'前提'!$B$12)*'前提'!$B$6</f>
        <v/>
      </c>
      <c r="I18" s="5">
        <f>(I13+I11*'前提'!$B$12-I12*'前提'!$B$12)*'前提'!$B$6</f>
        <v/>
      </c>
      <c r="J18" s="5">
        <f>(J13+J11*'前提'!$B$12-J12*'前提'!$B$12)*'前提'!$B$6</f>
        <v/>
      </c>
      <c r="K18" s="5">
        <f>(K13+K11*'前提'!$B$12-K12*'前提'!$B$12)*'前提'!$B$6</f>
        <v/>
      </c>
      <c r="L18" s="5">
        <f>(L13+L11*'前提'!$B$12-L12*'前提'!$B$12)*'前提'!$B$6</f>
        <v/>
      </c>
      <c r="M18" s="5">
        <f>(M13+M11*'前提'!$B$12-M12*'前提'!$B$12)*'前提'!$B$6</f>
        <v/>
      </c>
      <c r="N18" s="5">
        <f>(N13+N11*'前提'!$B$12-N12*'前提'!$B$12)*'前提'!$B$6</f>
        <v/>
      </c>
      <c r="O18" s="5">
        <f>(O13+O11*'前提'!$B$12-O12*'前提'!$B$12)*'前提'!$B$6</f>
        <v/>
      </c>
      <c r="P18" s="5">
        <f>(P13+P11*'前提'!$B$12-P12*'前提'!$B$12)*'前提'!$B$6</f>
        <v/>
      </c>
      <c r="Q18" s="5">
        <f>(Q13+Q11*'前提'!$B$12-Q12*'前提'!$B$12)*'前提'!$B$6</f>
        <v/>
      </c>
      <c r="R18" s="5">
        <f>(R13+R11*'前提'!$B$12-R12*'前提'!$B$12)*'前提'!$B$6</f>
        <v/>
      </c>
      <c r="S18" s="5">
        <f>(S13+S11*'前提'!$B$12-S12*'前提'!$B$12)*'前提'!$B$6</f>
        <v/>
      </c>
      <c r="T18" s="5">
        <f>(T13+T11*'前提'!$B$12-T12*'前提'!$B$12)*'前提'!$B$6</f>
        <v/>
      </c>
      <c r="U18" s="5">
        <f>(U13+U11*'前提'!$B$12-U12*'前提'!$B$12)*'前提'!$B$6</f>
        <v/>
      </c>
      <c r="V18" s="5">
        <f>(V13+V11*'前提'!$B$12-V12*'前提'!$B$12)*'前提'!$B$6</f>
        <v/>
      </c>
      <c r="W18" s="5">
        <f>(W13+W11*'前提'!$B$12-W12*'前提'!$B$12)*'前提'!$B$6</f>
        <v/>
      </c>
      <c r="X18" s="5">
        <f>(X13+X11*'前提'!$B$12-X12*'前提'!$B$12)*'前提'!$B$6</f>
        <v/>
      </c>
      <c r="Y18" s="5">
        <f>(Y13+Y11*'前提'!$B$12-Y12*'前提'!$B$12)*'前提'!$B$6</f>
        <v/>
      </c>
      <c r="Z18" s="5">
        <f>(Z13+Z11*'前提'!$B$12-Z12*'前提'!$B$12)*'前提'!$B$6</f>
        <v/>
      </c>
      <c r="AA18" s="5">
        <f>(AA13+AA11*'前提'!$B$12-AA12*'前提'!$B$12)*'前提'!$B$6</f>
        <v/>
      </c>
      <c r="AB18" s="5">
        <f>(AB13+AB11*'前提'!$B$12-AB12*'前提'!$B$12)*'前提'!$B$6</f>
        <v/>
      </c>
      <c r="AC18" s="5">
        <f>(AC13+AC11*'前提'!$B$12-AC12*'前提'!$B$12)*'前提'!$B$6</f>
        <v/>
      </c>
      <c r="AD18" s="5">
        <f>(AD13+AD11*'前提'!$B$12-AD12*'前提'!$B$12)*'前提'!$B$6</f>
        <v/>
      </c>
      <c r="AE18" s="5">
        <f>(AE13+AE11*'前提'!$B$12-AE12*'前提'!$B$12)*'前提'!$B$6</f>
        <v/>
      </c>
      <c r="AF18" s="5">
        <f>(AF13+AF11*'前提'!$B$12-AF12*'前提'!$B$12)*'前提'!$B$6</f>
        <v/>
      </c>
      <c r="AG18" s="5">
        <f>(AG13+AG11*'前提'!$B$12-AG12*'前提'!$B$12)*'前提'!$B$6</f>
        <v/>
      </c>
      <c r="AH18" s="5">
        <f>(AH13+AH11*'前提'!$B$12-AH12*'前提'!$B$12)*'前提'!$B$6</f>
        <v/>
      </c>
      <c r="AI18" s="5">
        <f>(AI13+AI11*'前提'!$B$12-AI12*'前提'!$B$12)*'前提'!$B$6</f>
        <v/>
      </c>
      <c r="AJ18" s="5">
        <f>(AJ13+AJ11*'前提'!$B$12-AJ12*'前提'!$B$12)*'前提'!$B$6</f>
        <v/>
      </c>
      <c r="AK18" s="5">
        <f>(AK13+AK11*'前提'!$B$12-AK12*'前提'!$B$12)*'前提'!$B$6</f>
        <v/>
      </c>
      <c r="AL18" s="5">
        <f>(AL13+AL11*'前提'!$B$12-AL12*'前提'!$B$12)*'前提'!$B$6</f>
        <v/>
      </c>
      <c r="AM18" s="5">
        <f>(AM13+AM11*'前提'!$B$12-AM12*'前提'!$B$12)*'前提'!$B$6</f>
        <v/>
      </c>
      <c r="AN18" s="5">
        <f>(AN13+AN11*'前提'!$B$12-AN12*'前提'!$B$12)*'前提'!$B$6</f>
        <v/>
      </c>
      <c r="AO18" s="5">
        <f>(AO13+AO11*'前提'!$B$12-AO12*'前提'!$B$12)*'前提'!$B$6</f>
        <v/>
      </c>
      <c r="AP18" s="5">
        <f>(AP13+AP11*'前提'!$B$12-AP12*'前提'!$B$12)*'前提'!$B$6</f>
        <v/>
      </c>
      <c r="AQ18" s="5">
        <f>(AQ13+AQ11*'前提'!$B$12-AQ12*'前提'!$B$12)*'前提'!$B$6</f>
        <v/>
      </c>
      <c r="AR18" s="5">
        <f>(AR13+AR11*'前提'!$B$12-AR12*'前提'!$B$12)*'前提'!$B$6</f>
        <v/>
      </c>
      <c r="AS18" s="5">
        <f>(AS13+AS11*'前提'!$B$12-AS12*'前提'!$B$12)*'前提'!$B$6</f>
        <v/>
      </c>
      <c r="AT18" s="5">
        <f>(AT13+AT11*'前提'!$B$12-AT12*'前提'!$B$12)*'前提'!$B$6</f>
        <v/>
      </c>
      <c r="AU18" s="5">
        <f>(AU13+AU11*'前提'!$B$12-AU12*'前提'!$B$12)*'前提'!$B$6</f>
        <v/>
      </c>
      <c r="AV18" s="5">
        <f>(AV13+AV11*'前提'!$B$12-AV12*'前提'!$B$12)*'前提'!$B$6</f>
        <v/>
      </c>
      <c r="AW18" s="5">
        <f>(AW13+AW11*'前提'!$B$12-AW12*'前提'!$B$12)*'前提'!$B$6</f>
        <v/>
      </c>
      <c r="AX18" s="5">
        <f>(AX13+AX11*'前提'!$B$12-AX12*'前提'!$B$12)*'前提'!$B$6</f>
        <v/>
      </c>
      <c r="AY18" s="5">
        <f>(AY13+AY11*'前提'!$B$12-AY12*'前提'!$B$12)*'前提'!$B$6</f>
        <v/>
      </c>
      <c r="AZ18" s="5">
        <f>(AZ13+AZ11*'前提'!$B$12-AZ12*'前提'!$B$12)*'前提'!$B$6</f>
        <v/>
      </c>
      <c r="BA18" s="5">
        <f>(BA13+BA11*'前提'!$B$12-BA12*'前提'!$B$12)*'前提'!$B$6</f>
        <v/>
      </c>
      <c r="BB18" s="5">
        <f>(BB13+BB11*'前提'!$B$12-BB12*'前提'!$B$12)*'前提'!$B$6</f>
        <v/>
      </c>
      <c r="BC18" s="5">
        <f>(BC13+BC11*'前提'!$B$12-BC12*'前提'!$B$12)*'前提'!$B$6</f>
        <v/>
      </c>
      <c r="BD18" s="5">
        <f>(BD13+BD11*'前提'!$B$12-BD12*'前提'!$B$12)*'前提'!$B$6</f>
        <v/>
      </c>
      <c r="BE18" s="5">
        <f>(BE13+BE11*'前提'!$B$12-BE12*'前提'!$B$12)*'前提'!$B$6</f>
        <v/>
      </c>
      <c r="BF18" s="5">
        <f>(BF13+BF11*'前提'!$B$12-BF12*'前提'!$B$12)*'前提'!$B$6</f>
        <v/>
      </c>
      <c r="BG18" s="5">
        <f>(BG13+BG11*'前提'!$B$12-BG12*'前提'!$B$12)*'前提'!$B$6</f>
        <v/>
      </c>
      <c r="BH18" s="5">
        <f>(BH13+BH11*'前提'!$B$12-BH12*'前提'!$B$12)*'前提'!$B$6</f>
        <v/>
      </c>
      <c r="BI18" s="5">
        <f>(BI13+BI11*'前提'!$B$12-BI12*'前提'!$B$12)*'前提'!$B$6</f>
        <v/>
      </c>
    </row>
    <row r="19">
      <c r="A19" t="inlineStr">
        <is>
          <t>BPO採用/集患売上（M13+）</t>
        </is>
      </c>
      <c r="B19" s="5">
        <f>IF(1&gt;=13,(B13+B11*'前提'!$B$12-B12*'前提'!$B$12)*'前提'!$B$7,0)</f>
        <v/>
      </c>
      <c r="C19" s="5">
        <f>IF(2&gt;=13,(C13+C11*'前提'!$B$12-C12*'前提'!$B$12)*'前提'!$B$7,0)</f>
        <v/>
      </c>
      <c r="D19" s="5">
        <f>IF(3&gt;=13,(D13+D11*'前提'!$B$12-D12*'前提'!$B$12)*'前提'!$B$7,0)</f>
        <v/>
      </c>
      <c r="E19" s="5">
        <f>IF(4&gt;=13,(E13+E11*'前提'!$B$12-E12*'前提'!$B$12)*'前提'!$B$7,0)</f>
        <v/>
      </c>
      <c r="F19" s="5">
        <f>IF(5&gt;=13,(F13+F11*'前提'!$B$12-F12*'前提'!$B$12)*'前提'!$B$7,0)</f>
        <v/>
      </c>
      <c r="G19" s="5">
        <f>IF(6&gt;=13,(G13+G11*'前提'!$B$12-G12*'前提'!$B$12)*'前提'!$B$7,0)</f>
        <v/>
      </c>
      <c r="H19" s="5">
        <f>IF(7&gt;=13,(H13+H11*'前提'!$B$12-H12*'前提'!$B$12)*'前提'!$B$7,0)</f>
        <v/>
      </c>
      <c r="I19" s="5">
        <f>IF(8&gt;=13,(I13+I11*'前提'!$B$12-I12*'前提'!$B$12)*'前提'!$B$7,0)</f>
        <v/>
      </c>
      <c r="J19" s="5">
        <f>IF(9&gt;=13,(J13+J11*'前提'!$B$12-J12*'前提'!$B$12)*'前提'!$B$7,0)</f>
        <v/>
      </c>
      <c r="K19" s="5">
        <f>IF(10&gt;=13,(K13+K11*'前提'!$B$12-K12*'前提'!$B$12)*'前提'!$B$7,0)</f>
        <v/>
      </c>
      <c r="L19" s="5">
        <f>IF(11&gt;=13,(L13+L11*'前提'!$B$12-L12*'前提'!$B$12)*'前提'!$B$7,0)</f>
        <v/>
      </c>
      <c r="M19" s="5">
        <f>IF(12&gt;=13,(M13+M11*'前提'!$B$12-M12*'前提'!$B$12)*'前提'!$B$7,0)</f>
        <v/>
      </c>
      <c r="N19" s="5">
        <f>IF(13&gt;=13,(N13+N11*'前提'!$B$12-N12*'前提'!$B$12)*'前提'!$B$7,0)</f>
        <v/>
      </c>
      <c r="O19" s="5">
        <f>IF(14&gt;=13,(O13+O11*'前提'!$B$12-O12*'前提'!$B$12)*'前提'!$B$7,0)</f>
        <v/>
      </c>
      <c r="P19" s="5">
        <f>IF(15&gt;=13,(P13+P11*'前提'!$B$12-P12*'前提'!$B$12)*'前提'!$B$7,0)</f>
        <v/>
      </c>
      <c r="Q19" s="5">
        <f>IF(16&gt;=13,(Q13+Q11*'前提'!$B$12-Q12*'前提'!$B$12)*'前提'!$B$7,0)</f>
        <v/>
      </c>
      <c r="R19" s="5">
        <f>IF(17&gt;=13,(R13+R11*'前提'!$B$12-R12*'前提'!$B$12)*'前提'!$B$7,0)</f>
        <v/>
      </c>
      <c r="S19" s="5">
        <f>IF(18&gt;=13,(S13+S11*'前提'!$B$12-S12*'前提'!$B$12)*'前提'!$B$7,0)</f>
        <v/>
      </c>
      <c r="T19" s="5">
        <f>IF(19&gt;=13,(T13+T11*'前提'!$B$12-T12*'前提'!$B$12)*'前提'!$B$7,0)</f>
        <v/>
      </c>
      <c r="U19" s="5">
        <f>IF(20&gt;=13,(U13+U11*'前提'!$B$12-U12*'前提'!$B$12)*'前提'!$B$7,0)</f>
        <v/>
      </c>
      <c r="V19" s="5">
        <f>IF(21&gt;=13,(V13+V11*'前提'!$B$12-V12*'前提'!$B$12)*'前提'!$B$7,0)</f>
        <v/>
      </c>
      <c r="W19" s="5">
        <f>IF(22&gt;=13,(W13+W11*'前提'!$B$12-W12*'前提'!$B$12)*'前提'!$B$7,0)</f>
        <v/>
      </c>
      <c r="X19" s="5">
        <f>IF(23&gt;=13,(X13+X11*'前提'!$B$12-X12*'前提'!$B$12)*'前提'!$B$7,0)</f>
        <v/>
      </c>
      <c r="Y19" s="5">
        <f>IF(24&gt;=13,(Y13+Y11*'前提'!$B$12-Y12*'前提'!$B$12)*'前提'!$B$7,0)</f>
        <v/>
      </c>
      <c r="Z19" s="5">
        <f>IF(25&gt;=13,(Z13+Z11*'前提'!$B$12-Z12*'前提'!$B$12)*'前提'!$B$7,0)</f>
        <v/>
      </c>
      <c r="AA19" s="5">
        <f>IF(26&gt;=13,(AA13+AA11*'前提'!$B$12-AA12*'前提'!$B$12)*'前提'!$B$7,0)</f>
        <v/>
      </c>
      <c r="AB19" s="5">
        <f>IF(27&gt;=13,(AB13+AB11*'前提'!$B$12-AB12*'前提'!$B$12)*'前提'!$B$7,0)</f>
        <v/>
      </c>
      <c r="AC19" s="5">
        <f>IF(28&gt;=13,(AC13+AC11*'前提'!$B$12-AC12*'前提'!$B$12)*'前提'!$B$7,0)</f>
        <v/>
      </c>
      <c r="AD19" s="5">
        <f>IF(29&gt;=13,(AD13+AD11*'前提'!$B$12-AD12*'前提'!$B$12)*'前提'!$B$7,0)</f>
        <v/>
      </c>
      <c r="AE19" s="5">
        <f>IF(30&gt;=13,(AE13+AE11*'前提'!$B$12-AE12*'前提'!$B$12)*'前提'!$B$7,0)</f>
        <v/>
      </c>
      <c r="AF19" s="5">
        <f>IF(31&gt;=13,(AF13+AF11*'前提'!$B$12-AF12*'前提'!$B$12)*'前提'!$B$7,0)</f>
        <v/>
      </c>
      <c r="AG19" s="5">
        <f>IF(32&gt;=13,(AG13+AG11*'前提'!$B$12-AG12*'前提'!$B$12)*'前提'!$B$7,0)</f>
        <v/>
      </c>
      <c r="AH19" s="5">
        <f>IF(33&gt;=13,(AH13+AH11*'前提'!$B$12-AH12*'前提'!$B$12)*'前提'!$B$7,0)</f>
        <v/>
      </c>
      <c r="AI19" s="5">
        <f>IF(34&gt;=13,(AI13+AI11*'前提'!$B$12-AI12*'前提'!$B$12)*'前提'!$B$7,0)</f>
        <v/>
      </c>
      <c r="AJ19" s="5">
        <f>IF(35&gt;=13,(AJ13+AJ11*'前提'!$B$12-AJ12*'前提'!$B$12)*'前提'!$B$7,0)</f>
        <v/>
      </c>
      <c r="AK19" s="5">
        <f>IF(36&gt;=13,(AK13+AK11*'前提'!$B$12-AK12*'前提'!$B$12)*'前提'!$B$7,0)</f>
        <v/>
      </c>
      <c r="AL19" s="5">
        <f>IF(37&gt;=13,(AL13+AL11*'前提'!$B$12-AL12*'前提'!$B$12)*'前提'!$B$7,0)</f>
        <v/>
      </c>
      <c r="AM19" s="5">
        <f>IF(38&gt;=13,(AM13+AM11*'前提'!$B$12-AM12*'前提'!$B$12)*'前提'!$B$7,0)</f>
        <v/>
      </c>
      <c r="AN19" s="5">
        <f>IF(39&gt;=13,(AN13+AN11*'前提'!$B$12-AN12*'前提'!$B$12)*'前提'!$B$7,0)</f>
        <v/>
      </c>
      <c r="AO19" s="5">
        <f>IF(40&gt;=13,(AO13+AO11*'前提'!$B$12-AO12*'前提'!$B$12)*'前提'!$B$7,0)</f>
        <v/>
      </c>
      <c r="AP19" s="5">
        <f>IF(41&gt;=13,(AP13+AP11*'前提'!$B$12-AP12*'前提'!$B$12)*'前提'!$B$7,0)</f>
        <v/>
      </c>
      <c r="AQ19" s="5">
        <f>IF(42&gt;=13,(AQ13+AQ11*'前提'!$B$12-AQ12*'前提'!$B$12)*'前提'!$B$7,0)</f>
        <v/>
      </c>
      <c r="AR19" s="5">
        <f>IF(43&gt;=13,(AR13+AR11*'前提'!$B$12-AR12*'前提'!$B$12)*'前提'!$B$7,0)</f>
        <v/>
      </c>
      <c r="AS19" s="5">
        <f>IF(44&gt;=13,(AS13+AS11*'前提'!$B$12-AS12*'前提'!$B$12)*'前提'!$B$7,0)</f>
        <v/>
      </c>
      <c r="AT19" s="5">
        <f>IF(45&gt;=13,(AT13+AT11*'前提'!$B$12-AT12*'前提'!$B$12)*'前提'!$B$7,0)</f>
        <v/>
      </c>
      <c r="AU19" s="5">
        <f>IF(46&gt;=13,(AU13+AU11*'前提'!$B$12-AU12*'前提'!$B$12)*'前提'!$B$7,0)</f>
        <v/>
      </c>
      <c r="AV19" s="5">
        <f>IF(47&gt;=13,(AV13+AV11*'前提'!$B$12-AV12*'前提'!$B$12)*'前提'!$B$7,0)</f>
        <v/>
      </c>
      <c r="AW19" s="5">
        <f>IF(48&gt;=13,(AW13+AW11*'前提'!$B$12-AW12*'前提'!$B$12)*'前提'!$B$7,0)</f>
        <v/>
      </c>
      <c r="AX19" s="5">
        <f>IF(49&gt;=13,(AX13+AX11*'前提'!$B$12-AX12*'前提'!$B$12)*'前提'!$B$7,0)</f>
        <v/>
      </c>
      <c r="AY19" s="5">
        <f>IF(50&gt;=13,(AY13+AY11*'前提'!$B$12-AY12*'前提'!$B$12)*'前提'!$B$7,0)</f>
        <v/>
      </c>
      <c r="AZ19" s="5">
        <f>IF(51&gt;=13,(AZ13+AZ11*'前提'!$B$12-AZ12*'前提'!$B$12)*'前提'!$B$7,0)</f>
        <v/>
      </c>
      <c r="BA19" s="5">
        <f>IF(52&gt;=13,(BA13+BA11*'前提'!$B$12-BA12*'前提'!$B$12)*'前提'!$B$7,0)</f>
        <v/>
      </c>
      <c r="BB19" s="5">
        <f>IF(53&gt;=13,(BB13+BB11*'前提'!$B$12-BB12*'前提'!$B$12)*'前提'!$B$7,0)</f>
        <v/>
      </c>
      <c r="BC19" s="5">
        <f>IF(54&gt;=13,(BC13+BC11*'前提'!$B$12-BC12*'前提'!$B$12)*'前提'!$B$7,0)</f>
        <v/>
      </c>
      <c r="BD19" s="5">
        <f>IF(55&gt;=13,(BD13+BD11*'前提'!$B$12-BD12*'前提'!$B$12)*'前提'!$B$7,0)</f>
        <v/>
      </c>
      <c r="BE19" s="5">
        <f>IF(56&gt;=13,(BE13+BE11*'前提'!$B$12-BE12*'前提'!$B$12)*'前提'!$B$7,0)</f>
        <v/>
      </c>
      <c r="BF19" s="5">
        <f>IF(57&gt;=13,(BF13+BF11*'前提'!$B$12-BF12*'前提'!$B$12)*'前提'!$B$7,0)</f>
        <v/>
      </c>
      <c r="BG19" s="5">
        <f>IF(58&gt;=13,(BG13+BG11*'前提'!$B$12-BG12*'前提'!$B$12)*'前提'!$B$7,0)</f>
        <v/>
      </c>
      <c r="BH19" s="5">
        <f>IF(59&gt;=13,(BH13+BH11*'前提'!$B$12-BH12*'前提'!$B$12)*'前提'!$B$7,0)</f>
        <v/>
      </c>
      <c r="BI19" s="5">
        <f>IF(60&gt;=13,(BI13+BI11*'前提'!$B$12-BI12*'前提'!$B$12)*'前提'!$B$7,0)</f>
        <v/>
      </c>
    </row>
    <row r="20">
      <c r="A20" t="inlineStr">
        <is>
          <t>導入費用</t>
        </is>
      </c>
      <c r="B20" s="5">
        <f>B5*'前提'!$B$5*'前提'!$B$13</f>
        <v/>
      </c>
      <c r="C20" s="5">
        <f>C5*'前提'!$B$5*'前提'!$B$13</f>
        <v/>
      </c>
      <c r="D20" s="5">
        <f>D5*'前提'!$B$5*'前提'!$B$13</f>
        <v/>
      </c>
      <c r="E20" s="5">
        <f>E5*'前提'!$B$5*'前提'!$B$13</f>
        <v/>
      </c>
      <c r="F20" s="5">
        <f>F5*'前提'!$B$5*'前提'!$B$13</f>
        <v/>
      </c>
      <c r="G20" s="5">
        <f>G5*'前提'!$B$5*'前提'!$B$13</f>
        <v/>
      </c>
      <c r="H20" s="5">
        <f>H5*'前提'!$B$5*'前提'!$B$13</f>
        <v/>
      </c>
      <c r="I20" s="5">
        <f>I5*'前提'!$B$5*'前提'!$B$13</f>
        <v/>
      </c>
      <c r="J20" s="5">
        <f>J5*'前提'!$B$5*'前提'!$B$13</f>
        <v/>
      </c>
      <c r="K20" s="5">
        <f>K5*'前提'!$B$5*'前提'!$B$13</f>
        <v/>
      </c>
      <c r="L20" s="5">
        <f>L5*'前提'!$B$5*'前提'!$B$13</f>
        <v/>
      </c>
      <c r="M20" s="5">
        <f>M5*'前提'!$B$5*'前提'!$B$13</f>
        <v/>
      </c>
      <c r="N20" s="5">
        <f>N5*'前提'!$B$5*'前提'!$B$13</f>
        <v/>
      </c>
      <c r="O20" s="5">
        <f>O5*'前提'!$B$5*'前提'!$B$13</f>
        <v/>
      </c>
      <c r="P20" s="5">
        <f>P5*'前提'!$B$5*'前提'!$B$13</f>
        <v/>
      </c>
      <c r="Q20" s="5">
        <f>Q5*'前提'!$B$5*'前提'!$B$13</f>
        <v/>
      </c>
      <c r="R20" s="5">
        <f>R5*'前提'!$B$5*'前提'!$B$13</f>
        <v/>
      </c>
      <c r="S20" s="5">
        <f>S5*'前提'!$B$5*'前提'!$B$13</f>
        <v/>
      </c>
      <c r="T20" s="5">
        <f>T5*'前提'!$B$5*'前提'!$B$13</f>
        <v/>
      </c>
      <c r="U20" s="5">
        <f>U5*'前提'!$B$5*'前提'!$B$13</f>
        <v/>
      </c>
      <c r="V20" s="5">
        <f>V5*'前提'!$B$5*'前提'!$B$13</f>
        <v/>
      </c>
      <c r="W20" s="5">
        <f>W5*'前提'!$B$5*'前提'!$B$13</f>
        <v/>
      </c>
      <c r="X20" s="5">
        <f>X5*'前提'!$B$5*'前提'!$B$13</f>
        <v/>
      </c>
      <c r="Y20" s="5">
        <f>Y5*'前提'!$B$5*'前提'!$B$13</f>
        <v/>
      </c>
      <c r="Z20" s="5">
        <f>Z5*'前提'!$B$5*'前提'!$B$13</f>
        <v/>
      </c>
      <c r="AA20" s="5">
        <f>AA5*'前提'!$B$5*'前提'!$B$13</f>
        <v/>
      </c>
      <c r="AB20" s="5">
        <f>AB5*'前提'!$B$5*'前提'!$B$13</f>
        <v/>
      </c>
      <c r="AC20" s="5">
        <f>AC5*'前提'!$B$5*'前提'!$B$13</f>
        <v/>
      </c>
      <c r="AD20" s="5">
        <f>AD5*'前提'!$B$5*'前提'!$B$13</f>
        <v/>
      </c>
      <c r="AE20" s="5">
        <f>AE5*'前提'!$B$5*'前提'!$B$13</f>
        <v/>
      </c>
      <c r="AF20" s="5">
        <f>AF5*'前提'!$B$5*'前提'!$B$13</f>
        <v/>
      </c>
      <c r="AG20" s="5">
        <f>AG5*'前提'!$B$5*'前提'!$B$13</f>
        <v/>
      </c>
      <c r="AH20" s="5">
        <f>AH5*'前提'!$B$5*'前提'!$B$13</f>
        <v/>
      </c>
      <c r="AI20" s="5">
        <f>AI5*'前提'!$B$5*'前提'!$B$13</f>
        <v/>
      </c>
      <c r="AJ20" s="5">
        <f>AJ5*'前提'!$B$5*'前提'!$B$13</f>
        <v/>
      </c>
      <c r="AK20" s="5">
        <f>AK5*'前提'!$B$5*'前提'!$B$13</f>
        <v/>
      </c>
      <c r="AL20" s="5">
        <f>AL5*'前提'!$B$5*'前提'!$B$13</f>
        <v/>
      </c>
      <c r="AM20" s="5">
        <f>AM5*'前提'!$B$5*'前提'!$B$13</f>
        <v/>
      </c>
      <c r="AN20" s="5">
        <f>AN5*'前提'!$B$5*'前提'!$B$13</f>
        <v/>
      </c>
      <c r="AO20" s="5">
        <f>AO5*'前提'!$B$5*'前提'!$B$13</f>
        <v/>
      </c>
      <c r="AP20" s="5">
        <f>AP5*'前提'!$B$5*'前提'!$B$13</f>
        <v/>
      </c>
      <c r="AQ20" s="5">
        <f>AQ5*'前提'!$B$5*'前提'!$B$13</f>
        <v/>
      </c>
      <c r="AR20" s="5">
        <f>AR5*'前提'!$B$5*'前提'!$B$13</f>
        <v/>
      </c>
      <c r="AS20" s="5">
        <f>AS5*'前提'!$B$5*'前提'!$B$13</f>
        <v/>
      </c>
      <c r="AT20" s="5">
        <f>AT5*'前提'!$B$5*'前提'!$B$13</f>
        <v/>
      </c>
      <c r="AU20" s="5">
        <f>AU5*'前提'!$B$5*'前提'!$B$13</f>
        <v/>
      </c>
      <c r="AV20" s="5">
        <f>AV5*'前提'!$B$5*'前提'!$B$13</f>
        <v/>
      </c>
      <c r="AW20" s="5">
        <f>AW5*'前提'!$B$5*'前提'!$B$13</f>
        <v/>
      </c>
      <c r="AX20" s="5">
        <f>AX5*'前提'!$B$5*'前提'!$B$13</f>
        <v/>
      </c>
      <c r="AY20" s="5">
        <f>AY5*'前提'!$B$5*'前提'!$B$13</f>
        <v/>
      </c>
      <c r="AZ20" s="5">
        <f>AZ5*'前提'!$B$5*'前提'!$B$13</f>
        <v/>
      </c>
      <c r="BA20" s="5">
        <f>BA5*'前提'!$B$5*'前提'!$B$13</f>
        <v/>
      </c>
      <c r="BB20" s="5">
        <f>BB5*'前提'!$B$5*'前提'!$B$13</f>
        <v/>
      </c>
      <c r="BC20" s="5">
        <f>BC5*'前提'!$B$5*'前提'!$B$13</f>
        <v/>
      </c>
      <c r="BD20" s="5">
        <f>BD5*'前提'!$B$5*'前提'!$B$13</f>
        <v/>
      </c>
      <c r="BE20" s="5">
        <f>BE5*'前提'!$B$5*'前提'!$B$13</f>
        <v/>
      </c>
      <c r="BF20" s="5">
        <f>BF5*'前提'!$B$5*'前提'!$B$13</f>
        <v/>
      </c>
      <c r="BG20" s="5">
        <f>BG5*'前提'!$B$5*'前提'!$B$13</f>
        <v/>
      </c>
      <c r="BH20" s="5">
        <f>BH5*'前提'!$B$5*'前提'!$B$13</f>
        <v/>
      </c>
      <c r="BI20" s="5">
        <f>BI5*'前提'!$B$5*'前提'!$B$13</f>
        <v/>
      </c>
    </row>
    <row r="21">
      <c r="A21" t="inlineStr">
        <is>
          <t>MRR</t>
        </is>
      </c>
      <c r="B21" s="5">
        <f>B17+B18+B19</f>
        <v/>
      </c>
      <c r="C21" s="5">
        <f>C17+C18+C19</f>
        <v/>
      </c>
      <c r="D21" s="5">
        <f>D17+D18+D19</f>
        <v/>
      </c>
      <c r="E21" s="5">
        <f>E17+E18+E19</f>
        <v/>
      </c>
      <c r="F21" s="5">
        <f>F17+F18+F19</f>
        <v/>
      </c>
      <c r="G21" s="5">
        <f>G17+G18+G19</f>
        <v/>
      </c>
      <c r="H21" s="5">
        <f>H17+H18+H19</f>
        <v/>
      </c>
      <c r="I21" s="5">
        <f>I17+I18+I19</f>
        <v/>
      </c>
      <c r="J21" s="5">
        <f>J17+J18+J19</f>
        <v/>
      </c>
      <c r="K21" s="5">
        <f>K17+K18+K19</f>
        <v/>
      </c>
      <c r="L21" s="5">
        <f>L17+L18+L19</f>
        <v/>
      </c>
      <c r="M21" s="5">
        <f>M17+M18+M19</f>
        <v/>
      </c>
      <c r="N21" s="5">
        <f>N17+N18+N19</f>
        <v/>
      </c>
      <c r="O21" s="5">
        <f>O17+O18+O19</f>
        <v/>
      </c>
      <c r="P21" s="5">
        <f>P17+P18+P19</f>
        <v/>
      </c>
      <c r="Q21" s="5">
        <f>Q17+Q18+Q19</f>
        <v/>
      </c>
      <c r="R21" s="5">
        <f>R17+R18+R19</f>
        <v/>
      </c>
      <c r="S21" s="5">
        <f>S17+S18+S19</f>
        <v/>
      </c>
      <c r="T21" s="5">
        <f>T17+T18+T19</f>
        <v/>
      </c>
      <c r="U21" s="5">
        <f>U17+U18+U19</f>
        <v/>
      </c>
      <c r="V21" s="5">
        <f>V17+V18+V19</f>
        <v/>
      </c>
      <c r="W21" s="5">
        <f>W17+W18+W19</f>
        <v/>
      </c>
      <c r="X21" s="5">
        <f>X17+X18+X19</f>
        <v/>
      </c>
      <c r="Y21" s="5">
        <f>Y17+Y18+Y19</f>
        <v/>
      </c>
      <c r="Z21" s="5">
        <f>Z17+Z18+Z19</f>
        <v/>
      </c>
      <c r="AA21" s="5">
        <f>AA17+AA18+AA19</f>
        <v/>
      </c>
      <c r="AB21" s="5">
        <f>AB17+AB18+AB19</f>
        <v/>
      </c>
      <c r="AC21" s="5">
        <f>AC17+AC18+AC19</f>
        <v/>
      </c>
      <c r="AD21" s="5">
        <f>AD17+AD18+AD19</f>
        <v/>
      </c>
      <c r="AE21" s="5">
        <f>AE17+AE18+AE19</f>
        <v/>
      </c>
      <c r="AF21" s="5">
        <f>AF17+AF18+AF19</f>
        <v/>
      </c>
      <c r="AG21" s="5">
        <f>AG17+AG18+AG19</f>
        <v/>
      </c>
      <c r="AH21" s="5">
        <f>AH17+AH18+AH19</f>
        <v/>
      </c>
      <c r="AI21" s="5">
        <f>AI17+AI18+AI19</f>
        <v/>
      </c>
      <c r="AJ21" s="5">
        <f>AJ17+AJ18+AJ19</f>
        <v/>
      </c>
      <c r="AK21" s="5">
        <f>AK17+AK18+AK19</f>
        <v/>
      </c>
      <c r="AL21" s="5">
        <f>AL17+AL18+AL19</f>
        <v/>
      </c>
      <c r="AM21" s="5">
        <f>AM17+AM18+AM19</f>
        <v/>
      </c>
      <c r="AN21" s="5">
        <f>AN17+AN18+AN19</f>
        <v/>
      </c>
      <c r="AO21" s="5">
        <f>AO17+AO18+AO19</f>
        <v/>
      </c>
      <c r="AP21" s="5">
        <f>AP17+AP18+AP19</f>
        <v/>
      </c>
      <c r="AQ21" s="5">
        <f>AQ17+AQ18+AQ19</f>
        <v/>
      </c>
      <c r="AR21" s="5">
        <f>AR17+AR18+AR19</f>
        <v/>
      </c>
      <c r="AS21" s="5">
        <f>AS17+AS18+AS19</f>
        <v/>
      </c>
      <c r="AT21" s="5">
        <f>AT17+AT18+AT19</f>
        <v/>
      </c>
      <c r="AU21" s="5">
        <f>AU17+AU18+AU19</f>
        <v/>
      </c>
      <c r="AV21" s="5">
        <f>AV17+AV18+AV19</f>
        <v/>
      </c>
      <c r="AW21" s="5">
        <f>AW17+AW18+AW19</f>
        <v/>
      </c>
      <c r="AX21" s="5">
        <f>AX17+AX18+AX19</f>
        <v/>
      </c>
      <c r="AY21" s="5">
        <f>AY17+AY18+AY19</f>
        <v/>
      </c>
      <c r="AZ21" s="5">
        <f>AZ17+AZ18+AZ19</f>
        <v/>
      </c>
      <c r="BA21" s="5">
        <f>BA17+BA18+BA19</f>
        <v/>
      </c>
      <c r="BB21" s="5">
        <f>BB17+BB18+BB19</f>
        <v/>
      </c>
      <c r="BC21" s="5">
        <f>BC17+BC18+BC19</f>
        <v/>
      </c>
      <c r="BD21" s="5">
        <f>BD17+BD18+BD19</f>
        <v/>
      </c>
      <c r="BE21" s="5">
        <f>BE17+BE18+BE19</f>
        <v/>
      </c>
      <c r="BF21" s="5">
        <f>BF17+BF18+BF19</f>
        <v/>
      </c>
      <c r="BG21" s="5">
        <f>BG17+BG18+BG19</f>
        <v/>
      </c>
      <c r="BH21" s="5">
        <f>BH17+BH18+BH19</f>
        <v/>
      </c>
      <c r="BI21" s="5">
        <f>BI17+BI18+BI19</f>
        <v/>
      </c>
    </row>
    <row r="22">
      <c r="A22" t="inlineStr">
        <is>
          <t>売上合計</t>
        </is>
      </c>
      <c r="B22" s="5">
        <f>B21+B20</f>
        <v/>
      </c>
      <c r="C22" s="5">
        <f>C21+C20</f>
        <v/>
      </c>
      <c r="D22" s="5">
        <f>D21+D20</f>
        <v/>
      </c>
      <c r="E22" s="5">
        <f>E21+E20</f>
        <v/>
      </c>
      <c r="F22" s="5">
        <f>F21+F20</f>
        <v/>
      </c>
      <c r="G22" s="5">
        <f>G21+G20</f>
        <v/>
      </c>
      <c r="H22" s="5">
        <f>H21+H20</f>
        <v/>
      </c>
      <c r="I22" s="5">
        <f>I21+I20</f>
        <v/>
      </c>
      <c r="J22" s="5">
        <f>J21+J20</f>
        <v/>
      </c>
      <c r="K22" s="5">
        <f>K21+K20</f>
        <v/>
      </c>
      <c r="L22" s="5">
        <f>L21+L20</f>
        <v/>
      </c>
      <c r="M22" s="5">
        <f>M21+M20</f>
        <v/>
      </c>
      <c r="N22" s="5">
        <f>N21+N20</f>
        <v/>
      </c>
      <c r="O22" s="5">
        <f>O21+O20</f>
        <v/>
      </c>
      <c r="P22" s="5">
        <f>P21+P20</f>
        <v/>
      </c>
      <c r="Q22" s="5">
        <f>Q21+Q20</f>
        <v/>
      </c>
      <c r="R22" s="5">
        <f>R21+R20</f>
        <v/>
      </c>
      <c r="S22" s="5">
        <f>S21+S20</f>
        <v/>
      </c>
      <c r="T22" s="5">
        <f>T21+T20</f>
        <v/>
      </c>
      <c r="U22" s="5">
        <f>U21+U20</f>
        <v/>
      </c>
      <c r="V22" s="5">
        <f>V21+V20</f>
        <v/>
      </c>
      <c r="W22" s="5">
        <f>W21+W20</f>
        <v/>
      </c>
      <c r="X22" s="5">
        <f>X21+X20</f>
        <v/>
      </c>
      <c r="Y22" s="5">
        <f>Y21+Y20</f>
        <v/>
      </c>
      <c r="Z22" s="5">
        <f>Z21+Z20</f>
        <v/>
      </c>
      <c r="AA22" s="5">
        <f>AA21+AA20</f>
        <v/>
      </c>
      <c r="AB22" s="5">
        <f>AB21+AB20</f>
        <v/>
      </c>
      <c r="AC22" s="5">
        <f>AC21+AC20</f>
        <v/>
      </c>
      <c r="AD22" s="5">
        <f>AD21+AD20</f>
        <v/>
      </c>
      <c r="AE22" s="5">
        <f>AE21+AE20</f>
        <v/>
      </c>
      <c r="AF22" s="5">
        <f>AF21+AF20</f>
        <v/>
      </c>
      <c r="AG22" s="5">
        <f>AG21+AG20</f>
        <v/>
      </c>
      <c r="AH22" s="5">
        <f>AH21+AH20</f>
        <v/>
      </c>
      <c r="AI22" s="5">
        <f>AI21+AI20</f>
        <v/>
      </c>
      <c r="AJ22" s="5">
        <f>AJ21+AJ20</f>
        <v/>
      </c>
      <c r="AK22" s="5">
        <f>AK21+AK20</f>
        <v/>
      </c>
      <c r="AL22" s="5">
        <f>AL21+AL20</f>
        <v/>
      </c>
      <c r="AM22" s="5">
        <f>AM21+AM20</f>
        <v/>
      </c>
      <c r="AN22" s="5">
        <f>AN21+AN20</f>
        <v/>
      </c>
      <c r="AO22" s="5">
        <f>AO21+AO20</f>
        <v/>
      </c>
      <c r="AP22" s="5">
        <f>AP21+AP20</f>
        <v/>
      </c>
      <c r="AQ22" s="5">
        <f>AQ21+AQ20</f>
        <v/>
      </c>
      <c r="AR22" s="5">
        <f>AR21+AR20</f>
        <v/>
      </c>
      <c r="AS22" s="5">
        <f>AS21+AS20</f>
        <v/>
      </c>
      <c r="AT22" s="5">
        <f>AT21+AT20</f>
        <v/>
      </c>
      <c r="AU22" s="5">
        <f>AU21+AU20</f>
        <v/>
      </c>
      <c r="AV22" s="5">
        <f>AV21+AV20</f>
        <v/>
      </c>
      <c r="AW22" s="5">
        <f>AW21+AW20</f>
        <v/>
      </c>
      <c r="AX22" s="5">
        <f>AX21+AX20</f>
        <v/>
      </c>
      <c r="AY22" s="5">
        <f>AY21+AY20</f>
        <v/>
      </c>
      <c r="AZ22" s="5">
        <f>AZ21+AZ20</f>
        <v/>
      </c>
      <c r="BA22" s="5">
        <f>BA21+BA20</f>
        <v/>
      </c>
      <c r="BB22" s="5">
        <f>BB21+BB20</f>
        <v/>
      </c>
      <c r="BC22" s="5">
        <f>BC21+BC20</f>
        <v/>
      </c>
      <c r="BD22" s="5">
        <f>BD21+BD20</f>
        <v/>
      </c>
      <c r="BE22" s="5">
        <f>BE21+BE20</f>
        <v/>
      </c>
      <c r="BF22" s="5">
        <f>BF21+BF20</f>
        <v/>
      </c>
      <c r="BG22" s="5">
        <f>BG21+BG20</f>
        <v/>
      </c>
      <c r="BH22" s="5">
        <f>BH21+BH20</f>
        <v/>
      </c>
      <c r="BI22" s="5">
        <f>BI21+BI20</f>
        <v/>
      </c>
    </row>
    <row r="24">
      <c r="A24" s="16" t="inlineStr">
        <is>
          <t>【直接原価（変動費）】</t>
        </is>
      </c>
    </row>
    <row r="25">
      <c r="A25" t="inlineStr">
        <is>
          <t>FAQ構築原価（新規件連動）</t>
        </is>
      </c>
      <c r="B25" s="5">
        <f>B5*'前提'!$B$16</f>
        <v/>
      </c>
      <c r="C25" s="5">
        <f>C5*'前提'!$B$16</f>
        <v/>
      </c>
      <c r="D25" s="5">
        <f>D5*'前提'!$B$16</f>
        <v/>
      </c>
      <c r="E25" s="5">
        <f>E5*'前提'!$B$16</f>
        <v/>
      </c>
      <c r="F25" s="5">
        <f>F5*'前提'!$B$16</f>
        <v/>
      </c>
      <c r="G25" s="5">
        <f>G5*'前提'!$B$16</f>
        <v/>
      </c>
      <c r="H25" s="5">
        <f>H5*'前提'!$B$16</f>
        <v/>
      </c>
      <c r="I25" s="5">
        <f>I5*'前提'!$B$16</f>
        <v/>
      </c>
      <c r="J25" s="5">
        <f>J5*'前提'!$B$16</f>
        <v/>
      </c>
      <c r="K25" s="5">
        <f>K5*'前提'!$B$16</f>
        <v/>
      </c>
      <c r="L25" s="5">
        <f>L5*'前提'!$B$16</f>
        <v/>
      </c>
      <c r="M25" s="5">
        <f>M5*'前提'!$B$16</f>
        <v/>
      </c>
      <c r="N25" s="5">
        <f>N5*'前提'!$B$16</f>
        <v/>
      </c>
      <c r="O25" s="5">
        <f>O5*'前提'!$B$16</f>
        <v/>
      </c>
      <c r="P25" s="5">
        <f>P5*'前提'!$B$16</f>
        <v/>
      </c>
      <c r="Q25" s="5">
        <f>Q5*'前提'!$B$16</f>
        <v/>
      </c>
      <c r="R25" s="5">
        <f>R5*'前提'!$B$16</f>
        <v/>
      </c>
      <c r="S25" s="5">
        <f>S5*'前提'!$B$16</f>
        <v/>
      </c>
      <c r="T25" s="5">
        <f>T5*'前提'!$B$16</f>
        <v/>
      </c>
      <c r="U25" s="5">
        <f>U5*'前提'!$B$16</f>
        <v/>
      </c>
      <c r="V25" s="5">
        <f>V5*'前提'!$B$16</f>
        <v/>
      </c>
      <c r="W25" s="5">
        <f>W5*'前提'!$B$16</f>
        <v/>
      </c>
      <c r="X25" s="5">
        <f>X5*'前提'!$B$16</f>
        <v/>
      </c>
      <c r="Y25" s="5">
        <f>Y5*'前提'!$B$16</f>
        <v/>
      </c>
      <c r="Z25" s="5">
        <f>Z5*'前提'!$B$16</f>
        <v/>
      </c>
      <c r="AA25" s="5">
        <f>AA5*'前提'!$B$16</f>
        <v/>
      </c>
      <c r="AB25" s="5">
        <f>AB5*'前提'!$B$16</f>
        <v/>
      </c>
      <c r="AC25" s="5">
        <f>AC5*'前提'!$B$16</f>
        <v/>
      </c>
      <c r="AD25" s="5">
        <f>AD5*'前提'!$B$16</f>
        <v/>
      </c>
      <c r="AE25" s="5">
        <f>AE5*'前提'!$B$16</f>
        <v/>
      </c>
      <c r="AF25" s="5">
        <f>AF5*'前提'!$B$16</f>
        <v/>
      </c>
      <c r="AG25" s="5">
        <f>AG5*'前提'!$B$16</f>
        <v/>
      </c>
      <c r="AH25" s="5">
        <f>AH5*'前提'!$B$16</f>
        <v/>
      </c>
      <c r="AI25" s="5">
        <f>AI5*'前提'!$B$16</f>
        <v/>
      </c>
      <c r="AJ25" s="5">
        <f>AJ5*'前提'!$B$16</f>
        <v/>
      </c>
      <c r="AK25" s="5">
        <f>AK5*'前提'!$B$16</f>
        <v/>
      </c>
      <c r="AL25" s="5">
        <f>AL5*'前提'!$B$16</f>
        <v/>
      </c>
      <c r="AM25" s="5">
        <f>AM5*'前提'!$B$16</f>
        <v/>
      </c>
      <c r="AN25" s="5">
        <f>AN5*'前提'!$B$16</f>
        <v/>
      </c>
      <c r="AO25" s="5">
        <f>AO5*'前提'!$B$16</f>
        <v/>
      </c>
      <c r="AP25" s="5">
        <f>AP5*'前提'!$B$16</f>
        <v/>
      </c>
      <c r="AQ25" s="5">
        <f>AQ5*'前提'!$B$16</f>
        <v/>
      </c>
      <c r="AR25" s="5">
        <f>AR5*'前提'!$B$16</f>
        <v/>
      </c>
      <c r="AS25" s="5">
        <f>AS5*'前提'!$B$16</f>
        <v/>
      </c>
      <c r="AT25" s="5">
        <f>AT5*'前提'!$B$16</f>
        <v/>
      </c>
      <c r="AU25" s="5">
        <f>AU5*'前提'!$B$16</f>
        <v/>
      </c>
      <c r="AV25" s="5">
        <f>AV5*'前提'!$B$16</f>
        <v/>
      </c>
      <c r="AW25" s="5">
        <f>AW5*'前提'!$B$16</f>
        <v/>
      </c>
      <c r="AX25" s="5">
        <f>AX5*'前提'!$B$16</f>
        <v/>
      </c>
      <c r="AY25" s="5">
        <f>AY5*'前提'!$B$16</f>
        <v/>
      </c>
      <c r="AZ25" s="5">
        <f>AZ5*'前提'!$B$16</f>
        <v/>
      </c>
      <c r="BA25" s="5">
        <f>BA5*'前提'!$B$16</f>
        <v/>
      </c>
      <c r="BB25" s="5">
        <f>BB5*'前提'!$B$16</f>
        <v/>
      </c>
      <c r="BC25" s="5">
        <f>BC5*'前提'!$B$16</f>
        <v/>
      </c>
      <c r="BD25" s="5">
        <f>BD5*'前提'!$B$16</f>
        <v/>
      </c>
      <c r="BE25" s="5">
        <f>BE5*'前提'!$B$16</f>
        <v/>
      </c>
      <c r="BF25" s="5">
        <f>BF5*'前提'!$B$16</f>
        <v/>
      </c>
      <c r="BG25" s="5">
        <f>BG5*'前提'!$B$16</f>
        <v/>
      </c>
      <c r="BH25" s="5">
        <f>BH5*'前提'!$B$16</f>
        <v/>
      </c>
      <c r="BI25" s="5">
        <f>BI5*'前提'!$B$16</f>
        <v/>
      </c>
    </row>
    <row r="26">
      <c r="A26" t="inlineStr">
        <is>
          <t>月額メンテ原価（既存件連動）</t>
        </is>
      </c>
      <c r="B26" s="5">
        <f>B10*'前提'!$B$17</f>
        <v/>
      </c>
      <c r="C26" s="5">
        <f>C10*'前提'!$B$17</f>
        <v/>
      </c>
      <c r="D26" s="5">
        <f>D10*'前提'!$B$17</f>
        <v/>
      </c>
      <c r="E26" s="5">
        <f>E10*'前提'!$B$17</f>
        <v/>
      </c>
      <c r="F26" s="5">
        <f>F10*'前提'!$B$17</f>
        <v/>
      </c>
      <c r="G26" s="5">
        <f>G10*'前提'!$B$17</f>
        <v/>
      </c>
      <c r="H26" s="5">
        <f>H10*'前提'!$B$17</f>
        <v/>
      </c>
      <c r="I26" s="5">
        <f>I10*'前提'!$B$17</f>
        <v/>
      </c>
      <c r="J26" s="5">
        <f>J10*'前提'!$B$17</f>
        <v/>
      </c>
      <c r="K26" s="5">
        <f>K10*'前提'!$B$17</f>
        <v/>
      </c>
      <c r="L26" s="5">
        <f>L10*'前提'!$B$17</f>
        <v/>
      </c>
      <c r="M26" s="5">
        <f>M10*'前提'!$B$17</f>
        <v/>
      </c>
      <c r="N26" s="5">
        <f>N10*'前提'!$B$17</f>
        <v/>
      </c>
      <c r="O26" s="5">
        <f>O10*'前提'!$B$17</f>
        <v/>
      </c>
      <c r="P26" s="5">
        <f>P10*'前提'!$B$17</f>
        <v/>
      </c>
      <c r="Q26" s="5">
        <f>Q10*'前提'!$B$17</f>
        <v/>
      </c>
      <c r="R26" s="5">
        <f>R10*'前提'!$B$17</f>
        <v/>
      </c>
      <c r="S26" s="5">
        <f>S10*'前提'!$B$17</f>
        <v/>
      </c>
      <c r="T26" s="5">
        <f>T10*'前提'!$B$17</f>
        <v/>
      </c>
      <c r="U26" s="5">
        <f>U10*'前提'!$B$17</f>
        <v/>
      </c>
      <c r="V26" s="5">
        <f>V10*'前提'!$B$17</f>
        <v/>
      </c>
      <c r="W26" s="5">
        <f>W10*'前提'!$B$17</f>
        <v/>
      </c>
      <c r="X26" s="5">
        <f>X10*'前提'!$B$17</f>
        <v/>
      </c>
      <c r="Y26" s="5">
        <f>Y10*'前提'!$B$17</f>
        <v/>
      </c>
      <c r="Z26" s="5">
        <f>Z10*'前提'!$B$17</f>
        <v/>
      </c>
      <c r="AA26" s="5">
        <f>AA10*'前提'!$B$17</f>
        <v/>
      </c>
      <c r="AB26" s="5">
        <f>AB10*'前提'!$B$17</f>
        <v/>
      </c>
      <c r="AC26" s="5">
        <f>AC10*'前提'!$B$17</f>
        <v/>
      </c>
      <c r="AD26" s="5">
        <f>AD10*'前提'!$B$17</f>
        <v/>
      </c>
      <c r="AE26" s="5">
        <f>AE10*'前提'!$B$17</f>
        <v/>
      </c>
      <c r="AF26" s="5">
        <f>AF10*'前提'!$B$17</f>
        <v/>
      </c>
      <c r="AG26" s="5">
        <f>AG10*'前提'!$B$17</f>
        <v/>
      </c>
      <c r="AH26" s="5">
        <f>AH10*'前提'!$B$17</f>
        <v/>
      </c>
      <c r="AI26" s="5">
        <f>AI10*'前提'!$B$17</f>
        <v/>
      </c>
      <c r="AJ26" s="5">
        <f>AJ10*'前提'!$B$17</f>
        <v/>
      </c>
      <c r="AK26" s="5">
        <f>AK10*'前提'!$B$17</f>
        <v/>
      </c>
      <c r="AL26" s="5">
        <f>AL10*'前提'!$B$17</f>
        <v/>
      </c>
      <c r="AM26" s="5">
        <f>AM10*'前提'!$B$17</f>
        <v/>
      </c>
      <c r="AN26" s="5">
        <f>AN10*'前提'!$B$17</f>
        <v/>
      </c>
      <c r="AO26" s="5">
        <f>AO10*'前提'!$B$17</f>
        <v/>
      </c>
      <c r="AP26" s="5">
        <f>AP10*'前提'!$B$17</f>
        <v/>
      </c>
      <c r="AQ26" s="5">
        <f>AQ10*'前提'!$B$17</f>
        <v/>
      </c>
      <c r="AR26" s="5">
        <f>AR10*'前提'!$B$17</f>
        <v/>
      </c>
      <c r="AS26" s="5">
        <f>AS10*'前提'!$B$17</f>
        <v/>
      </c>
      <c r="AT26" s="5">
        <f>AT10*'前提'!$B$17</f>
        <v/>
      </c>
      <c r="AU26" s="5">
        <f>AU10*'前提'!$B$17</f>
        <v/>
      </c>
      <c r="AV26" s="5">
        <f>AV10*'前提'!$B$17</f>
        <v/>
      </c>
      <c r="AW26" s="5">
        <f>AW10*'前提'!$B$17</f>
        <v/>
      </c>
      <c r="AX26" s="5">
        <f>AX10*'前提'!$B$17</f>
        <v/>
      </c>
      <c r="AY26" s="5">
        <f>AY10*'前提'!$B$17</f>
        <v/>
      </c>
      <c r="AZ26" s="5">
        <f>AZ10*'前提'!$B$17</f>
        <v/>
      </c>
      <c r="BA26" s="5">
        <f>BA10*'前提'!$B$17</f>
        <v/>
      </c>
      <c r="BB26" s="5">
        <f>BB10*'前提'!$B$17</f>
        <v/>
      </c>
      <c r="BC26" s="5">
        <f>BC10*'前提'!$B$17</f>
        <v/>
      </c>
      <c r="BD26" s="5">
        <f>BD10*'前提'!$B$17</f>
        <v/>
      </c>
      <c r="BE26" s="5">
        <f>BE10*'前提'!$B$17</f>
        <v/>
      </c>
      <c r="BF26" s="5">
        <f>BF10*'前提'!$B$17</f>
        <v/>
      </c>
      <c r="BG26" s="5">
        <f>BG10*'前提'!$B$17</f>
        <v/>
      </c>
      <c r="BH26" s="5">
        <f>BH10*'前提'!$B$17</f>
        <v/>
      </c>
      <c r="BI26" s="5">
        <f>BI10*'前提'!$B$17</f>
        <v/>
      </c>
    </row>
    <row r="27">
      <c r="A27" t="inlineStr">
        <is>
          <t>LLM API変動費</t>
        </is>
      </c>
      <c r="B27" s="5">
        <f>(B10+B14)*'前提'!$B$18</f>
        <v/>
      </c>
      <c r="C27" s="5">
        <f>(C10+C14)*'前提'!$B$18</f>
        <v/>
      </c>
      <c r="D27" s="5">
        <f>(D10+D14)*'前提'!$B$18</f>
        <v/>
      </c>
      <c r="E27" s="5">
        <f>(E10+E14)*'前提'!$B$18</f>
        <v/>
      </c>
      <c r="F27" s="5">
        <f>(F10+F14)*'前提'!$B$18</f>
        <v/>
      </c>
      <c r="G27" s="5">
        <f>(G10+G14)*'前提'!$B$18</f>
        <v/>
      </c>
      <c r="H27" s="5">
        <f>(H10+H14)*'前提'!$B$18</f>
        <v/>
      </c>
      <c r="I27" s="5">
        <f>(I10+I14)*'前提'!$B$18</f>
        <v/>
      </c>
      <c r="J27" s="5">
        <f>(J10+J14)*'前提'!$B$18</f>
        <v/>
      </c>
      <c r="K27" s="5">
        <f>(K10+K14)*'前提'!$B$18</f>
        <v/>
      </c>
      <c r="L27" s="5">
        <f>(L10+L14)*'前提'!$B$18</f>
        <v/>
      </c>
      <c r="M27" s="5">
        <f>(M10+M14)*'前提'!$B$18</f>
        <v/>
      </c>
      <c r="N27" s="5">
        <f>(N10+N14)*'前提'!$B$18</f>
        <v/>
      </c>
      <c r="O27" s="5">
        <f>(O10+O14)*'前提'!$B$18</f>
        <v/>
      </c>
      <c r="P27" s="5">
        <f>(P10+P14)*'前提'!$B$18</f>
        <v/>
      </c>
      <c r="Q27" s="5">
        <f>(Q10+Q14)*'前提'!$B$18</f>
        <v/>
      </c>
      <c r="R27" s="5">
        <f>(R10+R14)*'前提'!$B$18</f>
        <v/>
      </c>
      <c r="S27" s="5">
        <f>(S10+S14)*'前提'!$B$18</f>
        <v/>
      </c>
      <c r="T27" s="5">
        <f>(T10+T14)*'前提'!$B$18</f>
        <v/>
      </c>
      <c r="U27" s="5">
        <f>(U10+U14)*'前提'!$B$18</f>
        <v/>
      </c>
      <c r="V27" s="5">
        <f>(V10+V14)*'前提'!$B$18</f>
        <v/>
      </c>
      <c r="W27" s="5">
        <f>(W10+W14)*'前提'!$B$18</f>
        <v/>
      </c>
      <c r="X27" s="5">
        <f>(X10+X14)*'前提'!$B$18</f>
        <v/>
      </c>
      <c r="Y27" s="5">
        <f>(Y10+Y14)*'前提'!$B$18</f>
        <v/>
      </c>
      <c r="Z27" s="5">
        <f>(Z10+Z14)*'前提'!$B$18</f>
        <v/>
      </c>
      <c r="AA27" s="5">
        <f>(AA10+AA14)*'前提'!$B$18</f>
        <v/>
      </c>
      <c r="AB27" s="5">
        <f>(AB10+AB14)*'前提'!$B$18</f>
        <v/>
      </c>
      <c r="AC27" s="5">
        <f>(AC10+AC14)*'前提'!$B$18</f>
        <v/>
      </c>
      <c r="AD27" s="5">
        <f>(AD10+AD14)*'前提'!$B$18</f>
        <v/>
      </c>
      <c r="AE27" s="5">
        <f>(AE10+AE14)*'前提'!$B$18</f>
        <v/>
      </c>
      <c r="AF27" s="5">
        <f>(AF10+AF14)*'前提'!$B$18</f>
        <v/>
      </c>
      <c r="AG27" s="5">
        <f>(AG10+AG14)*'前提'!$B$18</f>
        <v/>
      </c>
      <c r="AH27" s="5">
        <f>(AH10+AH14)*'前提'!$B$18</f>
        <v/>
      </c>
      <c r="AI27" s="5">
        <f>(AI10+AI14)*'前提'!$B$18</f>
        <v/>
      </c>
      <c r="AJ27" s="5">
        <f>(AJ10+AJ14)*'前提'!$B$18</f>
        <v/>
      </c>
      <c r="AK27" s="5">
        <f>(AK10+AK14)*'前提'!$B$18</f>
        <v/>
      </c>
      <c r="AL27" s="5">
        <f>(AL10+AL14)*'前提'!$B$18</f>
        <v/>
      </c>
      <c r="AM27" s="5">
        <f>(AM10+AM14)*'前提'!$B$18</f>
        <v/>
      </c>
      <c r="AN27" s="5">
        <f>(AN10+AN14)*'前提'!$B$18</f>
        <v/>
      </c>
      <c r="AO27" s="5">
        <f>(AO10+AO14)*'前提'!$B$18</f>
        <v/>
      </c>
      <c r="AP27" s="5">
        <f>(AP10+AP14)*'前提'!$B$18</f>
        <v/>
      </c>
      <c r="AQ27" s="5">
        <f>(AQ10+AQ14)*'前提'!$B$18</f>
        <v/>
      </c>
      <c r="AR27" s="5">
        <f>(AR10+AR14)*'前提'!$B$18</f>
        <v/>
      </c>
      <c r="AS27" s="5">
        <f>(AS10+AS14)*'前提'!$B$18</f>
        <v/>
      </c>
      <c r="AT27" s="5">
        <f>(AT10+AT14)*'前提'!$B$18</f>
        <v/>
      </c>
      <c r="AU27" s="5">
        <f>(AU10+AU14)*'前提'!$B$18</f>
        <v/>
      </c>
      <c r="AV27" s="5">
        <f>(AV10+AV14)*'前提'!$B$18</f>
        <v/>
      </c>
      <c r="AW27" s="5">
        <f>(AW10+AW14)*'前提'!$B$18</f>
        <v/>
      </c>
      <c r="AX27" s="5">
        <f>(AX10+AX14)*'前提'!$B$18</f>
        <v/>
      </c>
      <c r="AY27" s="5">
        <f>(AY10+AY14)*'前提'!$B$18</f>
        <v/>
      </c>
      <c r="AZ27" s="5">
        <f>(AZ10+AZ14)*'前提'!$B$18</f>
        <v/>
      </c>
      <c r="BA27" s="5">
        <f>(BA10+BA14)*'前提'!$B$18</f>
        <v/>
      </c>
      <c r="BB27" s="5">
        <f>(BB10+BB14)*'前提'!$B$18</f>
        <v/>
      </c>
      <c r="BC27" s="5">
        <f>(BC10+BC14)*'前提'!$B$18</f>
        <v/>
      </c>
      <c r="BD27" s="5">
        <f>(BD10+BD14)*'前提'!$B$18</f>
        <v/>
      </c>
      <c r="BE27" s="5">
        <f>(BE10+BE14)*'前提'!$B$18</f>
        <v/>
      </c>
      <c r="BF27" s="5">
        <f>(BF10+BF14)*'前提'!$B$18</f>
        <v/>
      </c>
      <c r="BG27" s="5">
        <f>(BG10+BG14)*'前提'!$B$18</f>
        <v/>
      </c>
      <c r="BH27" s="5">
        <f>(BH10+BH14)*'前提'!$B$18</f>
        <v/>
      </c>
      <c r="BI27" s="5">
        <f>(BI10+BI14)*'前提'!$B$18</f>
        <v/>
      </c>
    </row>
    <row r="28">
      <c r="A28" t="inlineStr">
        <is>
          <t>インフラ（Cloud SQL+Run）</t>
        </is>
      </c>
      <c r="B28" s="5">
        <f>IF((B10+B14)&lt;=50,'前提'!$B$21,IF((B10+B14)&lt;=200,'前提'!$B$22,'前提'!$B$23))+IF((B10+B14)&lt;=50,'前提'!$B$24,IF((B10+B14)&lt;=200,'前提'!$B$25,'前提'!$B$26))</f>
        <v/>
      </c>
      <c r="C28" s="5">
        <f>IF((C10+C14)&lt;=50,'前提'!$B$21,IF((C10+C14)&lt;=200,'前提'!$B$22,'前提'!$B$23))+IF((C10+C14)&lt;=50,'前提'!$B$24,IF((C10+C14)&lt;=200,'前提'!$B$25,'前提'!$B$26))</f>
        <v/>
      </c>
      <c r="D28" s="5">
        <f>IF((D10+D14)&lt;=50,'前提'!$B$21,IF((D10+D14)&lt;=200,'前提'!$B$22,'前提'!$B$23))+IF((D10+D14)&lt;=50,'前提'!$B$24,IF((D10+D14)&lt;=200,'前提'!$B$25,'前提'!$B$26))</f>
        <v/>
      </c>
      <c r="E28" s="5">
        <f>IF((E10+E14)&lt;=50,'前提'!$B$21,IF((E10+E14)&lt;=200,'前提'!$B$22,'前提'!$B$23))+IF((E10+E14)&lt;=50,'前提'!$B$24,IF((E10+E14)&lt;=200,'前提'!$B$25,'前提'!$B$26))</f>
        <v/>
      </c>
      <c r="F28" s="5">
        <f>IF((F10+F14)&lt;=50,'前提'!$B$21,IF((F10+F14)&lt;=200,'前提'!$B$22,'前提'!$B$23))+IF((F10+F14)&lt;=50,'前提'!$B$24,IF((F10+F14)&lt;=200,'前提'!$B$25,'前提'!$B$26))</f>
        <v/>
      </c>
      <c r="G28" s="5">
        <f>IF((G10+G14)&lt;=50,'前提'!$B$21,IF((G10+G14)&lt;=200,'前提'!$B$22,'前提'!$B$23))+IF((G10+G14)&lt;=50,'前提'!$B$24,IF((G10+G14)&lt;=200,'前提'!$B$25,'前提'!$B$26))</f>
        <v/>
      </c>
      <c r="H28" s="5">
        <f>IF((H10+H14)&lt;=50,'前提'!$B$21,IF((H10+H14)&lt;=200,'前提'!$B$22,'前提'!$B$23))+IF((H10+H14)&lt;=50,'前提'!$B$24,IF((H10+H14)&lt;=200,'前提'!$B$25,'前提'!$B$26))</f>
        <v/>
      </c>
      <c r="I28" s="5">
        <f>IF((I10+I14)&lt;=50,'前提'!$B$21,IF((I10+I14)&lt;=200,'前提'!$B$22,'前提'!$B$23))+IF((I10+I14)&lt;=50,'前提'!$B$24,IF((I10+I14)&lt;=200,'前提'!$B$25,'前提'!$B$26))</f>
        <v/>
      </c>
      <c r="J28" s="5">
        <f>IF((J10+J14)&lt;=50,'前提'!$B$21,IF((J10+J14)&lt;=200,'前提'!$B$22,'前提'!$B$23))+IF((J10+J14)&lt;=50,'前提'!$B$24,IF((J10+J14)&lt;=200,'前提'!$B$25,'前提'!$B$26))</f>
        <v/>
      </c>
      <c r="K28" s="5">
        <f>IF((K10+K14)&lt;=50,'前提'!$B$21,IF((K10+K14)&lt;=200,'前提'!$B$22,'前提'!$B$23))+IF((K10+K14)&lt;=50,'前提'!$B$24,IF((K10+K14)&lt;=200,'前提'!$B$25,'前提'!$B$26))</f>
        <v/>
      </c>
      <c r="L28" s="5">
        <f>IF((L10+L14)&lt;=50,'前提'!$B$21,IF((L10+L14)&lt;=200,'前提'!$B$22,'前提'!$B$23))+IF((L10+L14)&lt;=50,'前提'!$B$24,IF((L10+L14)&lt;=200,'前提'!$B$25,'前提'!$B$26))</f>
        <v/>
      </c>
      <c r="M28" s="5">
        <f>IF((M10+M14)&lt;=50,'前提'!$B$21,IF((M10+M14)&lt;=200,'前提'!$B$22,'前提'!$B$23))+IF((M10+M14)&lt;=50,'前提'!$B$24,IF((M10+M14)&lt;=200,'前提'!$B$25,'前提'!$B$26))</f>
        <v/>
      </c>
      <c r="N28" s="5">
        <f>IF((N10+N14)&lt;=50,'前提'!$B$21,IF((N10+N14)&lt;=200,'前提'!$B$22,'前提'!$B$23))+IF((N10+N14)&lt;=50,'前提'!$B$24,IF((N10+N14)&lt;=200,'前提'!$B$25,'前提'!$B$26))</f>
        <v/>
      </c>
      <c r="O28" s="5">
        <f>IF((O10+O14)&lt;=50,'前提'!$B$21,IF((O10+O14)&lt;=200,'前提'!$B$22,'前提'!$B$23))+IF((O10+O14)&lt;=50,'前提'!$B$24,IF((O10+O14)&lt;=200,'前提'!$B$25,'前提'!$B$26))</f>
        <v/>
      </c>
      <c r="P28" s="5">
        <f>IF((P10+P14)&lt;=50,'前提'!$B$21,IF((P10+P14)&lt;=200,'前提'!$B$22,'前提'!$B$23))+IF((P10+P14)&lt;=50,'前提'!$B$24,IF((P10+P14)&lt;=200,'前提'!$B$25,'前提'!$B$26))</f>
        <v/>
      </c>
      <c r="Q28" s="5">
        <f>IF((Q10+Q14)&lt;=50,'前提'!$B$21,IF((Q10+Q14)&lt;=200,'前提'!$B$22,'前提'!$B$23))+IF((Q10+Q14)&lt;=50,'前提'!$B$24,IF((Q10+Q14)&lt;=200,'前提'!$B$25,'前提'!$B$26))</f>
        <v/>
      </c>
      <c r="R28" s="5">
        <f>IF((R10+R14)&lt;=50,'前提'!$B$21,IF((R10+R14)&lt;=200,'前提'!$B$22,'前提'!$B$23))+IF((R10+R14)&lt;=50,'前提'!$B$24,IF((R10+R14)&lt;=200,'前提'!$B$25,'前提'!$B$26))</f>
        <v/>
      </c>
      <c r="S28" s="5">
        <f>IF((S10+S14)&lt;=50,'前提'!$B$21,IF((S10+S14)&lt;=200,'前提'!$B$22,'前提'!$B$23))+IF((S10+S14)&lt;=50,'前提'!$B$24,IF((S10+S14)&lt;=200,'前提'!$B$25,'前提'!$B$26))</f>
        <v/>
      </c>
      <c r="T28" s="5">
        <f>IF((T10+T14)&lt;=50,'前提'!$B$21,IF((T10+T14)&lt;=200,'前提'!$B$22,'前提'!$B$23))+IF((T10+T14)&lt;=50,'前提'!$B$24,IF((T10+T14)&lt;=200,'前提'!$B$25,'前提'!$B$26))</f>
        <v/>
      </c>
      <c r="U28" s="5">
        <f>IF((U10+U14)&lt;=50,'前提'!$B$21,IF((U10+U14)&lt;=200,'前提'!$B$22,'前提'!$B$23))+IF((U10+U14)&lt;=50,'前提'!$B$24,IF((U10+U14)&lt;=200,'前提'!$B$25,'前提'!$B$26))</f>
        <v/>
      </c>
      <c r="V28" s="5">
        <f>IF((V10+V14)&lt;=50,'前提'!$B$21,IF((V10+V14)&lt;=200,'前提'!$B$22,'前提'!$B$23))+IF((V10+V14)&lt;=50,'前提'!$B$24,IF((V10+V14)&lt;=200,'前提'!$B$25,'前提'!$B$26))</f>
        <v/>
      </c>
      <c r="W28" s="5">
        <f>IF((W10+W14)&lt;=50,'前提'!$B$21,IF((W10+W14)&lt;=200,'前提'!$B$22,'前提'!$B$23))+IF((W10+W14)&lt;=50,'前提'!$B$24,IF((W10+W14)&lt;=200,'前提'!$B$25,'前提'!$B$26))</f>
        <v/>
      </c>
      <c r="X28" s="5">
        <f>IF((X10+X14)&lt;=50,'前提'!$B$21,IF((X10+X14)&lt;=200,'前提'!$B$22,'前提'!$B$23))+IF((X10+X14)&lt;=50,'前提'!$B$24,IF((X10+X14)&lt;=200,'前提'!$B$25,'前提'!$B$26))</f>
        <v/>
      </c>
      <c r="Y28" s="5">
        <f>IF((Y10+Y14)&lt;=50,'前提'!$B$21,IF((Y10+Y14)&lt;=200,'前提'!$B$22,'前提'!$B$23))+IF((Y10+Y14)&lt;=50,'前提'!$B$24,IF((Y10+Y14)&lt;=200,'前提'!$B$25,'前提'!$B$26))</f>
        <v/>
      </c>
      <c r="Z28" s="5">
        <f>IF((Z10+Z14)&lt;=50,'前提'!$B$21,IF((Z10+Z14)&lt;=200,'前提'!$B$22,'前提'!$B$23))+IF((Z10+Z14)&lt;=50,'前提'!$B$24,IF((Z10+Z14)&lt;=200,'前提'!$B$25,'前提'!$B$26))</f>
        <v/>
      </c>
      <c r="AA28" s="5">
        <f>IF((AA10+AA14)&lt;=50,'前提'!$B$21,IF((AA10+AA14)&lt;=200,'前提'!$B$22,'前提'!$B$23))+IF((AA10+AA14)&lt;=50,'前提'!$B$24,IF((AA10+AA14)&lt;=200,'前提'!$B$25,'前提'!$B$26))</f>
        <v/>
      </c>
      <c r="AB28" s="5">
        <f>IF((AB10+AB14)&lt;=50,'前提'!$B$21,IF((AB10+AB14)&lt;=200,'前提'!$B$22,'前提'!$B$23))+IF((AB10+AB14)&lt;=50,'前提'!$B$24,IF((AB10+AB14)&lt;=200,'前提'!$B$25,'前提'!$B$26))</f>
        <v/>
      </c>
      <c r="AC28" s="5">
        <f>IF((AC10+AC14)&lt;=50,'前提'!$B$21,IF((AC10+AC14)&lt;=200,'前提'!$B$22,'前提'!$B$23))+IF((AC10+AC14)&lt;=50,'前提'!$B$24,IF((AC10+AC14)&lt;=200,'前提'!$B$25,'前提'!$B$26))</f>
        <v/>
      </c>
      <c r="AD28" s="5">
        <f>IF((AD10+AD14)&lt;=50,'前提'!$B$21,IF((AD10+AD14)&lt;=200,'前提'!$B$22,'前提'!$B$23))+IF((AD10+AD14)&lt;=50,'前提'!$B$24,IF((AD10+AD14)&lt;=200,'前提'!$B$25,'前提'!$B$26))</f>
        <v/>
      </c>
      <c r="AE28" s="5">
        <f>IF((AE10+AE14)&lt;=50,'前提'!$B$21,IF((AE10+AE14)&lt;=200,'前提'!$B$22,'前提'!$B$23))+IF((AE10+AE14)&lt;=50,'前提'!$B$24,IF((AE10+AE14)&lt;=200,'前提'!$B$25,'前提'!$B$26))</f>
        <v/>
      </c>
      <c r="AF28" s="5">
        <f>IF((AF10+AF14)&lt;=50,'前提'!$B$21,IF((AF10+AF14)&lt;=200,'前提'!$B$22,'前提'!$B$23))+IF((AF10+AF14)&lt;=50,'前提'!$B$24,IF((AF10+AF14)&lt;=200,'前提'!$B$25,'前提'!$B$26))</f>
        <v/>
      </c>
      <c r="AG28" s="5">
        <f>IF((AG10+AG14)&lt;=50,'前提'!$B$21,IF((AG10+AG14)&lt;=200,'前提'!$B$22,'前提'!$B$23))+IF((AG10+AG14)&lt;=50,'前提'!$B$24,IF((AG10+AG14)&lt;=200,'前提'!$B$25,'前提'!$B$26))</f>
        <v/>
      </c>
      <c r="AH28" s="5">
        <f>IF((AH10+AH14)&lt;=50,'前提'!$B$21,IF((AH10+AH14)&lt;=200,'前提'!$B$22,'前提'!$B$23))+IF((AH10+AH14)&lt;=50,'前提'!$B$24,IF((AH10+AH14)&lt;=200,'前提'!$B$25,'前提'!$B$26))</f>
        <v/>
      </c>
      <c r="AI28" s="5">
        <f>IF((AI10+AI14)&lt;=50,'前提'!$B$21,IF((AI10+AI14)&lt;=200,'前提'!$B$22,'前提'!$B$23))+IF((AI10+AI14)&lt;=50,'前提'!$B$24,IF((AI10+AI14)&lt;=200,'前提'!$B$25,'前提'!$B$26))</f>
        <v/>
      </c>
      <c r="AJ28" s="5">
        <f>IF((AJ10+AJ14)&lt;=50,'前提'!$B$21,IF((AJ10+AJ14)&lt;=200,'前提'!$B$22,'前提'!$B$23))+IF((AJ10+AJ14)&lt;=50,'前提'!$B$24,IF((AJ10+AJ14)&lt;=200,'前提'!$B$25,'前提'!$B$26))</f>
        <v/>
      </c>
      <c r="AK28" s="5">
        <f>IF((AK10+AK14)&lt;=50,'前提'!$B$21,IF((AK10+AK14)&lt;=200,'前提'!$B$22,'前提'!$B$23))+IF((AK10+AK14)&lt;=50,'前提'!$B$24,IF((AK10+AK14)&lt;=200,'前提'!$B$25,'前提'!$B$26))</f>
        <v/>
      </c>
      <c r="AL28" s="5">
        <f>IF((AL10+AL14)&lt;=50,'前提'!$B$21,IF((AL10+AL14)&lt;=200,'前提'!$B$22,'前提'!$B$23))+IF((AL10+AL14)&lt;=50,'前提'!$B$24,IF((AL10+AL14)&lt;=200,'前提'!$B$25,'前提'!$B$26))</f>
        <v/>
      </c>
      <c r="AM28" s="5">
        <f>IF((AM10+AM14)&lt;=50,'前提'!$B$21,IF((AM10+AM14)&lt;=200,'前提'!$B$22,'前提'!$B$23))+IF((AM10+AM14)&lt;=50,'前提'!$B$24,IF((AM10+AM14)&lt;=200,'前提'!$B$25,'前提'!$B$26))</f>
        <v/>
      </c>
      <c r="AN28" s="5">
        <f>IF((AN10+AN14)&lt;=50,'前提'!$B$21,IF((AN10+AN14)&lt;=200,'前提'!$B$22,'前提'!$B$23))+IF((AN10+AN14)&lt;=50,'前提'!$B$24,IF((AN10+AN14)&lt;=200,'前提'!$B$25,'前提'!$B$26))</f>
        <v/>
      </c>
      <c r="AO28" s="5">
        <f>IF((AO10+AO14)&lt;=50,'前提'!$B$21,IF((AO10+AO14)&lt;=200,'前提'!$B$22,'前提'!$B$23))+IF((AO10+AO14)&lt;=50,'前提'!$B$24,IF((AO10+AO14)&lt;=200,'前提'!$B$25,'前提'!$B$26))</f>
        <v/>
      </c>
      <c r="AP28" s="5">
        <f>IF((AP10+AP14)&lt;=50,'前提'!$B$21,IF((AP10+AP14)&lt;=200,'前提'!$B$22,'前提'!$B$23))+IF((AP10+AP14)&lt;=50,'前提'!$B$24,IF((AP10+AP14)&lt;=200,'前提'!$B$25,'前提'!$B$26))</f>
        <v/>
      </c>
      <c r="AQ28" s="5">
        <f>IF((AQ10+AQ14)&lt;=50,'前提'!$B$21,IF((AQ10+AQ14)&lt;=200,'前提'!$B$22,'前提'!$B$23))+IF((AQ10+AQ14)&lt;=50,'前提'!$B$24,IF((AQ10+AQ14)&lt;=200,'前提'!$B$25,'前提'!$B$26))</f>
        <v/>
      </c>
      <c r="AR28" s="5">
        <f>IF((AR10+AR14)&lt;=50,'前提'!$B$21,IF((AR10+AR14)&lt;=200,'前提'!$B$22,'前提'!$B$23))+IF((AR10+AR14)&lt;=50,'前提'!$B$24,IF((AR10+AR14)&lt;=200,'前提'!$B$25,'前提'!$B$26))</f>
        <v/>
      </c>
      <c r="AS28" s="5">
        <f>IF((AS10+AS14)&lt;=50,'前提'!$B$21,IF((AS10+AS14)&lt;=200,'前提'!$B$22,'前提'!$B$23))+IF((AS10+AS14)&lt;=50,'前提'!$B$24,IF((AS10+AS14)&lt;=200,'前提'!$B$25,'前提'!$B$26))</f>
        <v/>
      </c>
      <c r="AT28" s="5">
        <f>IF((AT10+AT14)&lt;=50,'前提'!$B$21,IF((AT10+AT14)&lt;=200,'前提'!$B$22,'前提'!$B$23))+IF((AT10+AT14)&lt;=50,'前提'!$B$24,IF((AT10+AT14)&lt;=200,'前提'!$B$25,'前提'!$B$26))</f>
        <v/>
      </c>
      <c r="AU28" s="5">
        <f>IF((AU10+AU14)&lt;=50,'前提'!$B$21,IF((AU10+AU14)&lt;=200,'前提'!$B$22,'前提'!$B$23))+IF((AU10+AU14)&lt;=50,'前提'!$B$24,IF((AU10+AU14)&lt;=200,'前提'!$B$25,'前提'!$B$26))</f>
        <v/>
      </c>
      <c r="AV28" s="5">
        <f>IF((AV10+AV14)&lt;=50,'前提'!$B$21,IF((AV10+AV14)&lt;=200,'前提'!$B$22,'前提'!$B$23))+IF((AV10+AV14)&lt;=50,'前提'!$B$24,IF((AV10+AV14)&lt;=200,'前提'!$B$25,'前提'!$B$26))</f>
        <v/>
      </c>
      <c r="AW28" s="5">
        <f>IF((AW10+AW14)&lt;=50,'前提'!$B$21,IF((AW10+AW14)&lt;=200,'前提'!$B$22,'前提'!$B$23))+IF((AW10+AW14)&lt;=50,'前提'!$B$24,IF((AW10+AW14)&lt;=200,'前提'!$B$25,'前提'!$B$26))</f>
        <v/>
      </c>
      <c r="AX28" s="5">
        <f>IF((AX10+AX14)&lt;=50,'前提'!$B$21,IF((AX10+AX14)&lt;=200,'前提'!$B$22,'前提'!$B$23))+IF((AX10+AX14)&lt;=50,'前提'!$B$24,IF((AX10+AX14)&lt;=200,'前提'!$B$25,'前提'!$B$26))</f>
        <v/>
      </c>
      <c r="AY28" s="5">
        <f>IF((AY10+AY14)&lt;=50,'前提'!$B$21,IF((AY10+AY14)&lt;=200,'前提'!$B$22,'前提'!$B$23))+IF((AY10+AY14)&lt;=50,'前提'!$B$24,IF((AY10+AY14)&lt;=200,'前提'!$B$25,'前提'!$B$26))</f>
        <v/>
      </c>
      <c r="AZ28" s="5">
        <f>IF((AZ10+AZ14)&lt;=50,'前提'!$B$21,IF((AZ10+AZ14)&lt;=200,'前提'!$B$22,'前提'!$B$23))+IF((AZ10+AZ14)&lt;=50,'前提'!$B$24,IF((AZ10+AZ14)&lt;=200,'前提'!$B$25,'前提'!$B$26))</f>
        <v/>
      </c>
      <c r="BA28" s="5">
        <f>IF((BA10+BA14)&lt;=50,'前提'!$B$21,IF((BA10+BA14)&lt;=200,'前提'!$B$22,'前提'!$B$23))+IF((BA10+BA14)&lt;=50,'前提'!$B$24,IF((BA10+BA14)&lt;=200,'前提'!$B$25,'前提'!$B$26))</f>
        <v/>
      </c>
      <c r="BB28" s="5">
        <f>IF((BB10+BB14)&lt;=50,'前提'!$B$21,IF((BB10+BB14)&lt;=200,'前提'!$B$22,'前提'!$B$23))+IF((BB10+BB14)&lt;=50,'前提'!$B$24,IF((BB10+BB14)&lt;=200,'前提'!$B$25,'前提'!$B$26))</f>
        <v/>
      </c>
      <c r="BC28" s="5">
        <f>IF((BC10+BC14)&lt;=50,'前提'!$B$21,IF((BC10+BC14)&lt;=200,'前提'!$B$22,'前提'!$B$23))+IF((BC10+BC14)&lt;=50,'前提'!$B$24,IF((BC10+BC14)&lt;=200,'前提'!$B$25,'前提'!$B$26))</f>
        <v/>
      </c>
      <c r="BD28" s="5">
        <f>IF((BD10+BD14)&lt;=50,'前提'!$B$21,IF((BD10+BD14)&lt;=200,'前提'!$B$22,'前提'!$B$23))+IF((BD10+BD14)&lt;=50,'前提'!$B$24,IF((BD10+BD14)&lt;=200,'前提'!$B$25,'前提'!$B$26))</f>
        <v/>
      </c>
      <c r="BE28" s="5">
        <f>IF((BE10+BE14)&lt;=50,'前提'!$B$21,IF((BE10+BE14)&lt;=200,'前提'!$B$22,'前提'!$B$23))+IF((BE10+BE14)&lt;=50,'前提'!$B$24,IF((BE10+BE14)&lt;=200,'前提'!$B$25,'前提'!$B$26))</f>
        <v/>
      </c>
      <c r="BF28" s="5">
        <f>IF((BF10+BF14)&lt;=50,'前提'!$B$21,IF((BF10+BF14)&lt;=200,'前提'!$B$22,'前提'!$B$23))+IF((BF10+BF14)&lt;=50,'前提'!$B$24,IF((BF10+BF14)&lt;=200,'前提'!$B$25,'前提'!$B$26))</f>
        <v/>
      </c>
      <c r="BG28" s="5">
        <f>IF((BG10+BG14)&lt;=50,'前提'!$B$21,IF((BG10+BG14)&lt;=200,'前提'!$B$22,'前提'!$B$23))+IF((BG10+BG14)&lt;=50,'前提'!$B$24,IF((BG10+BG14)&lt;=200,'前提'!$B$25,'前提'!$B$26))</f>
        <v/>
      </c>
      <c r="BH28" s="5">
        <f>IF((BH10+BH14)&lt;=50,'前提'!$B$21,IF((BH10+BH14)&lt;=200,'前提'!$B$22,'前提'!$B$23))+IF((BH10+BH14)&lt;=50,'前提'!$B$24,IF((BH10+BH14)&lt;=200,'前提'!$B$25,'前提'!$B$26))</f>
        <v/>
      </c>
      <c r="BI28" s="5">
        <f>IF((BI10+BI14)&lt;=50,'前提'!$B$21,IF((BI10+BI14)&lt;=200,'前提'!$B$22,'前提'!$B$23))+IF((BI10+BI14)&lt;=50,'前提'!$B$24,IF((BI10+BI14)&lt;=200,'前提'!$B$25,'前提'!$B$26))</f>
        <v/>
      </c>
    </row>
    <row r="29">
      <c r="A29" t="inlineStr">
        <is>
          <t>決済手数料</t>
        </is>
      </c>
      <c r="B29" s="5">
        <f>B22*'前提'!$B$54</f>
        <v/>
      </c>
      <c r="C29" s="5">
        <f>C22*'前提'!$B$54</f>
        <v/>
      </c>
      <c r="D29" s="5">
        <f>D22*'前提'!$B$54</f>
        <v/>
      </c>
      <c r="E29" s="5">
        <f>E22*'前提'!$B$54</f>
        <v/>
      </c>
      <c r="F29" s="5">
        <f>F22*'前提'!$B$54</f>
        <v/>
      </c>
      <c r="G29" s="5">
        <f>G22*'前提'!$B$54</f>
        <v/>
      </c>
      <c r="H29" s="5">
        <f>H22*'前提'!$B$54</f>
        <v/>
      </c>
      <c r="I29" s="5">
        <f>I22*'前提'!$B$54</f>
        <v/>
      </c>
      <c r="J29" s="5">
        <f>J22*'前提'!$B$54</f>
        <v/>
      </c>
      <c r="K29" s="5">
        <f>K22*'前提'!$B$54</f>
        <v/>
      </c>
      <c r="L29" s="5">
        <f>L22*'前提'!$B$54</f>
        <v/>
      </c>
      <c r="M29" s="5">
        <f>M22*'前提'!$B$54</f>
        <v/>
      </c>
      <c r="N29" s="5">
        <f>N22*'前提'!$B$54</f>
        <v/>
      </c>
      <c r="O29" s="5">
        <f>O22*'前提'!$B$54</f>
        <v/>
      </c>
      <c r="P29" s="5">
        <f>P22*'前提'!$B$54</f>
        <v/>
      </c>
      <c r="Q29" s="5">
        <f>Q22*'前提'!$B$54</f>
        <v/>
      </c>
      <c r="R29" s="5">
        <f>R22*'前提'!$B$54</f>
        <v/>
      </c>
      <c r="S29" s="5">
        <f>S22*'前提'!$B$54</f>
        <v/>
      </c>
      <c r="T29" s="5">
        <f>T22*'前提'!$B$54</f>
        <v/>
      </c>
      <c r="U29" s="5">
        <f>U22*'前提'!$B$54</f>
        <v/>
      </c>
      <c r="V29" s="5">
        <f>V22*'前提'!$B$54</f>
        <v/>
      </c>
      <c r="W29" s="5">
        <f>W22*'前提'!$B$54</f>
        <v/>
      </c>
      <c r="X29" s="5">
        <f>X22*'前提'!$B$54</f>
        <v/>
      </c>
      <c r="Y29" s="5">
        <f>Y22*'前提'!$B$54</f>
        <v/>
      </c>
      <c r="Z29" s="5">
        <f>Z22*'前提'!$B$54</f>
        <v/>
      </c>
      <c r="AA29" s="5">
        <f>AA22*'前提'!$B$54</f>
        <v/>
      </c>
      <c r="AB29" s="5">
        <f>AB22*'前提'!$B$54</f>
        <v/>
      </c>
      <c r="AC29" s="5">
        <f>AC22*'前提'!$B$54</f>
        <v/>
      </c>
      <c r="AD29" s="5">
        <f>AD22*'前提'!$B$54</f>
        <v/>
      </c>
      <c r="AE29" s="5">
        <f>AE22*'前提'!$B$54</f>
        <v/>
      </c>
      <c r="AF29" s="5">
        <f>AF22*'前提'!$B$54</f>
        <v/>
      </c>
      <c r="AG29" s="5">
        <f>AG22*'前提'!$B$54</f>
        <v/>
      </c>
      <c r="AH29" s="5">
        <f>AH22*'前提'!$B$54</f>
        <v/>
      </c>
      <c r="AI29" s="5">
        <f>AI22*'前提'!$B$54</f>
        <v/>
      </c>
      <c r="AJ29" s="5">
        <f>AJ22*'前提'!$B$54</f>
        <v/>
      </c>
      <c r="AK29" s="5">
        <f>AK22*'前提'!$B$54</f>
        <v/>
      </c>
      <c r="AL29" s="5">
        <f>AL22*'前提'!$B$54</f>
        <v/>
      </c>
      <c r="AM29" s="5">
        <f>AM22*'前提'!$B$54</f>
        <v/>
      </c>
      <c r="AN29" s="5">
        <f>AN22*'前提'!$B$54</f>
        <v/>
      </c>
      <c r="AO29" s="5">
        <f>AO22*'前提'!$B$54</f>
        <v/>
      </c>
      <c r="AP29" s="5">
        <f>AP22*'前提'!$B$54</f>
        <v/>
      </c>
      <c r="AQ29" s="5">
        <f>AQ22*'前提'!$B$54</f>
        <v/>
      </c>
      <c r="AR29" s="5">
        <f>AR22*'前提'!$B$54</f>
        <v/>
      </c>
      <c r="AS29" s="5">
        <f>AS22*'前提'!$B$54</f>
        <v/>
      </c>
      <c r="AT29" s="5">
        <f>AT22*'前提'!$B$54</f>
        <v/>
      </c>
      <c r="AU29" s="5">
        <f>AU22*'前提'!$B$54</f>
        <v/>
      </c>
      <c r="AV29" s="5">
        <f>AV22*'前提'!$B$54</f>
        <v/>
      </c>
      <c r="AW29" s="5">
        <f>AW22*'前提'!$B$54</f>
        <v/>
      </c>
      <c r="AX29" s="5">
        <f>AX22*'前提'!$B$54</f>
        <v/>
      </c>
      <c r="AY29" s="5">
        <f>AY22*'前提'!$B$54</f>
        <v/>
      </c>
      <c r="AZ29" s="5">
        <f>AZ22*'前提'!$B$54</f>
        <v/>
      </c>
      <c r="BA29" s="5">
        <f>BA22*'前提'!$B$54</f>
        <v/>
      </c>
      <c r="BB29" s="5">
        <f>BB22*'前提'!$B$54</f>
        <v/>
      </c>
      <c r="BC29" s="5">
        <f>BC22*'前提'!$B$54</f>
        <v/>
      </c>
      <c r="BD29" s="5">
        <f>BD22*'前提'!$B$54</f>
        <v/>
      </c>
      <c r="BE29" s="5">
        <f>BE22*'前提'!$B$54</f>
        <v/>
      </c>
      <c r="BF29" s="5">
        <f>BF22*'前提'!$B$54</f>
        <v/>
      </c>
      <c r="BG29" s="5">
        <f>BG22*'前提'!$B$54</f>
        <v/>
      </c>
      <c r="BH29" s="5">
        <f>BH22*'前提'!$B$54</f>
        <v/>
      </c>
      <c r="BI29" s="5">
        <f>BI22*'前提'!$B$54</f>
        <v/>
      </c>
    </row>
    <row r="31">
      <c r="A31" s="16" t="inlineStr">
        <is>
          <t>【人件費】</t>
        </is>
      </c>
    </row>
    <row r="32">
      <c r="A32" t="inlineStr">
        <is>
          <t>CEO報酬</t>
        </is>
      </c>
      <c r="B32" s="5">
        <f>'前提'!$B$34</f>
        <v/>
      </c>
      <c r="C32" s="5">
        <f>'前提'!$B$34</f>
        <v/>
      </c>
      <c r="D32" s="5">
        <f>'前提'!$B$34</f>
        <v/>
      </c>
      <c r="E32" s="5">
        <f>'前提'!$B$34</f>
        <v/>
      </c>
      <c r="F32" s="5">
        <f>'前提'!$B$34</f>
        <v/>
      </c>
      <c r="G32" s="5">
        <f>'前提'!$B$34</f>
        <v/>
      </c>
      <c r="H32" s="5">
        <f>'前提'!$B$34</f>
        <v/>
      </c>
      <c r="I32" s="5">
        <f>'前提'!$B$34</f>
        <v/>
      </c>
      <c r="J32" s="5">
        <f>'前提'!$B$34</f>
        <v/>
      </c>
      <c r="K32" s="5">
        <f>'前提'!$B$34</f>
        <v/>
      </c>
      <c r="L32" s="5">
        <f>'前提'!$B$34</f>
        <v/>
      </c>
      <c r="M32" s="5">
        <f>'前提'!$B$34</f>
        <v/>
      </c>
      <c r="N32" s="5">
        <f>'前提'!$B$34</f>
        <v/>
      </c>
      <c r="O32" s="5">
        <f>'前提'!$B$34</f>
        <v/>
      </c>
      <c r="P32" s="5">
        <f>'前提'!$B$34</f>
        <v/>
      </c>
      <c r="Q32" s="5">
        <f>'前提'!$B$34</f>
        <v/>
      </c>
      <c r="R32" s="5">
        <f>'前提'!$B$34</f>
        <v/>
      </c>
      <c r="S32" s="5">
        <f>'前提'!$B$34</f>
        <v/>
      </c>
      <c r="T32" s="5">
        <f>'前提'!$B$34</f>
        <v/>
      </c>
      <c r="U32" s="5">
        <f>'前提'!$B$34</f>
        <v/>
      </c>
      <c r="V32" s="5">
        <f>'前提'!$B$34</f>
        <v/>
      </c>
      <c r="W32" s="5">
        <f>'前提'!$B$34</f>
        <v/>
      </c>
      <c r="X32" s="5">
        <f>'前提'!$B$34</f>
        <v/>
      </c>
      <c r="Y32" s="5">
        <f>'前提'!$B$34</f>
        <v/>
      </c>
      <c r="Z32" s="5">
        <f>'前提'!$B$34</f>
        <v/>
      </c>
      <c r="AA32" s="5">
        <f>'前提'!$B$34</f>
        <v/>
      </c>
      <c r="AB32" s="5">
        <f>'前提'!$B$34</f>
        <v/>
      </c>
      <c r="AC32" s="5">
        <f>'前提'!$B$34</f>
        <v/>
      </c>
      <c r="AD32" s="5">
        <f>'前提'!$B$34</f>
        <v/>
      </c>
      <c r="AE32" s="5">
        <f>'前提'!$B$34</f>
        <v/>
      </c>
      <c r="AF32" s="5">
        <f>'前提'!$B$34</f>
        <v/>
      </c>
      <c r="AG32" s="5">
        <f>'前提'!$B$34</f>
        <v/>
      </c>
      <c r="AH32" s="5">
        <f>'前提'!$B$34</f>
        <v/>
      </c>
      <c r="AI32" s="5">
        <f>'前提'!$B$34</f>
        <v/>
      </c>
      <c r="AJ32" s="5">
        <f>'前提'!$B$34</f>
        <v/>
      </c>
      <c r="AK32" s="5">
        <f>'前提'!$B$34</f>
        <v/>
      </c>
      <c r="AL32" s="5">
        <f>'前提'!$B$34</f>
        <v/>
      </c>
      <c r="AM32" s="5">
        <f>'前提'!$B$34</f>
        <v/>
      </c>
      <c r="AN32" s="5">
        <f>'前提'!$B$34</f>
        <v/>
      </c>
      <c r="AO32" s="5">
        <f>'前提'!$B$34</f>
        <v/>
      </c>
      <c r="AP32" s="5">
        <f>'前提'!$B$34</f>
        <v/>
      </c>
      <c r="AQ32" s="5">
        <f>'前提'!$B$34</f>
        <v/>
      </c>
      <c r="AR32" s="5">
        <f>'前提'!$B$34</f>
        <v/>
      </c>
      <c r="AS32" s="5">
        <f>'前提'!$B$34</f>
        <v/>
      </c>
      <c r="AT32" s="5">
        <f>'前提'!$B$34</f>
        <v/>
      </c>
      <c r="AU32" s="5">
        <f>'前提'!$B$34</f>
        <v/>
      </c>
      <c r="AV32" s="5">
        <f>'前提'!$B$34</f>
        <v/>
      </c>
      <c r="AW32" s="5">
        <f>'前提'!$B$34</f>
        <v/>
      </c>
      <c r="AX32" s="5">
        <f>'前提'!$B$34</f>
        <v/>
      </c>
      <c r="AY32" s="5">
        <f>'前提'!$B$34</f>
        <v/>
      </c>
      <c r="AZ32" s="5">
        <f>'前提'!$B$34</f>
        <v/>
      </c>
      <c r="BA32" s="5">
        <f>'前提'!$B$34</f>
        <v/>
      </c>
      <c r="BB32" s="5">
        <f>'前提'!$B$34</f>
        <v/>
      </c>
      <c r="BC32" s="5">
        <f>'前提'!$B$34</f>
        <v/>
      </c>
      <c r="BD32" s="5">
        <f>'前提'!$B$34</f>
        <v/>
      </c>
      <c r="BE32" s="5">
        <f>'前提'!$B$34</f>
        <v/>
      </c>
      <c r="BF32" s="5">
        <f>'前提'!$B$34</f>
        <v/>
      </c>
      <c r="BG32" s="5">
        <f>'前提'!$B$34</f>
        <v/>
      </c>
      <c r="BH32" s="5">
        <f>'前提'!$B$34</f>
        <v/>
      </c>
      <c r="BI32" s="5">
        <f>'前提'!$B$34</f>
        <v/>
      </c>
    </row>
    <row r="33">
      <c r="A33" t="inlineStr">
        <is>
          <t>エンジニア</t>
        </is>
      </c>
      <c r="B33" s="5">
        <f>IF(1&lt;=6,'前提'!$B$35*'前提'!$B$36,IF(1&lt;=12,'前提'!$B$35*'前提'!$B$37,'前提'!$B$38*(IF(1&lt;=6,'前提'!$B$85,IF(1&lt;=12,'前提'!$B$86,IF(1&lt;=18,'前提'!$B$87,IF(1&lt;=24,'前提'!$B$88,IF(1&lt;=36,'前提'!$B$89,IF(1&lt;=48,'前提'!$B$90,'前提'!$B$91)))))))))</f>
        <v/>
      </c>
      <c r="C33" s="5">
        <f>IF(2&lt;=6,'前提'!$B$35*'前提'!$B$36,IF(2&lt;=12,'前提'!$B$35*'前提'!$B$37,'前提'!$B$38*(IF(2&lt;=6,'前提'!$B$85,IF(2&lt;=12,'前提'!$B$86,IF(2&lt;=18,'前提'!$B$87,IF(2&lt;=24,'前提'!$B$88,IF(2&lt;=36,'前提'!$B$89,IF(2&lt;=48,'前提'!$B$90,'前提'!$B$91)))))))))</f>
        <v/>
      </c>
      <c r="D33" s="5">
        <f>IF(3&lt;=6,'前提'!$B$35*'前提'!$B$36,IF(3&lt;=12,'前提'!$B$35*'前提'!$B$37,'前提'!$B$38*(IF(3&lt;=6,'前提'!$B$85,IF(3&lt;=12,'前提'!$B$86,IF(3&lt;=18,'前提'!$B$87,IF(3&lt;=24,'前提'!$B$88,IF(3&lt;=36,'前提'!$B$89,IF(3&lt;=48,'前提'!$B$90,'前提'!$B$91)))))))))</f>
        <v/>
      </c>
      <c r="E33" s="5">
        <f>IF(4&lt;=6,'前提'!$B$35*'前提'!$B$36,IF(4&lt;=12,'前提'!$B$35*'前提'!$B$37,'前提'!$B$38*(IF(4&lt;=6,'前提'!$B$85,IF(4&lt;=12,'前提'!$B$86,IF(4&lt;=18,'前提'!$B$87,IF(4&lt;=24,'前提'!$B$88,IF(4&lt;=36,'前提'!$B$89,IF(4&lt;=48,'前提'!$B$90,'前提'!$B$91)))))))))</f>
        <v/>
      </c>
      <c r="F33" s="5">
        <f>IF(5&lt;=6,'前提'!$B$35*'前提'!$B$36,IF(5&lt;=12,'前提'!$B$35*'前提'!$B$37,'前提'!$B$38*(IF(5&lt;=6,'前提'!$B$85,IF(5&lt;=12,'前提'!$B$86,IF(5&lt;=18,'前提'!$B$87,IF(5&lt;=24,'前提'!$B$88,IF(5&lt;=36,'前提'!$B$89,IF(5&lt;=48,'前提'!$B$90,'前提'!$B$91)))))))))</f>
        <v/>
      </c>
      <c r="G33" s="5">
        <f>IF(6&lt;=6,'前提'!$B$35*'前提'!$B$36,IF(6&lt;=12,'前提'!$B$35*'前提'!$B$37,'前提'!$B$38*(IF(6&lt;=6,'前提'!$B$85,IF(6&lt;=12,'前提'!$B$86,IF(6&lt;=18,'前提'!$B$87,IF(6&lt;=24,'前提'!$B$88,IF(6&lt;=36,'前提'!$B$89,IF(6&lt;=48,'前提'!$B$90,'前提'!$B$91)))))))))</f>
        <v/>
      </c>
      <c r="H33" s="5">
        <f>IF(7&lt;=6,'前提'!$B$35*'前提'!$B$36,IF(7&lt;=12,'前提'!$B$35*'前提'!$B$37,'前提'!$B$38*(IF(7&lt;=6,'前提'!$B$85,IF(7&lt;=12,'前提'!$B$86,IF(7&lt;=18,'前提'!$B$87,IF(7&lt;=24,'前提'!$B$88,IF(7&lt;=36,'前提'!$B$89,IF(7&lt;=48,'前提'!$B$90,'前提'!$B$91)))))))))</f>
        <v/>
      </c>
      <c r="I33" s="5">
        <f>IF(8&lt;=6,'前提'!$B$35*'前提'!$B$36,IF(8&lt;=12,'前提'!$B$35*'前提'!$B$37,'前提'!$B$38*(IF(8&lt;=6,'前提'!$B$85,IF(8&lt;=12,'前提'!$B$86,IF(8&lt;=18,'前提'!$B$87,IF(8&lt;=24,'前提'!$B$88,IF(8&lt;=36,'前提'!$B$89,IF(8&lt;=48,'前提'!$B$90,'前提'!$B$91)))))))))</f>
        <v/>
      </c>
      <c r="J33" s="5">
        <f>IF(9&lt;=6,'前提'!$B$35*'前提'!$B$36,IF(9&lt;=12,'前提'!$B$35*'前提'!$B$37,'前提'!$B$38*(IF(9&lt;=6,'前提'!$B$85,IF(9&lt;=12,'前提'!$B$86,IF(9&lt;=18,'前提'!$B$87,IF(9&lt;=24,'前提'!$B$88,IF(9&lt;=36,'前提'!$B$89,IF(9&lt;=48,'前提'!$B$90,'前提'!$B$91)))))))))</f>
        <v/>
      </c>
      <c r="K33" s="5">
        <f>IF(10&lt;=6,'前提'!$B$35*'前提'!$B$36,IF(10&lt;=12,'前提'!$B$35*'前提'!$B$37,'前提'!$B$38*(IF(10&lt;=6,'前提'!$B$85,IF(10&lt;=12,'前提'!$B$86,IF(10&lt;=18,'前提'!$B$87,IF(10&lt;=24,'前提'!$B$88,IF(10&lt;=36,'前提'!$B$89,IF(10&lt;=48,'前提'!$B$90,'前提'!$B$91)))))))))</f>
        <v/>
      </c>
      <c r="L33" s="5">
        <f>IF(11&lt;=6,'前提'!$B$35*'前提'!$B$36,IF(11&lt;=12,'前提'!$B$35*'前提'!$B$37,'前提'!$B$38*(IF(11&lt;=6,'前提'!$B$85,IF(11&lt;=12,'前提'!$B$86,IF(11&lt;=18,'前提'!$B$87,IF(11&lt;=24,'前提'!$B$88,IF(11&lt;=36,'前提'!$B$89,IF(11&lt;=48,'前提'!$B$90,'前提'!$B$91)))))))))</f>
        <v/>
      </c>
      <c r="M33" s="5">
        <f>IF(12&lt;=6,'前提'!$B$35*'前提'!$B$36,IF(12&lt;=12,'前提'!$B$35*'前提'!$B$37,'前提'!$B$38*(IF(12&lt;=6,'前提'!$B$85,IF(12&lt;=12,'前提'!$B$86,IF(12&lt;=18,'前提'!$B$87,IF(12&lt;=24,'前提'!$B$88,IF(12&lt;=36,'前提'!$B$89,IF(12&lt;=48,'前提'!$B$90,'前提'!$B$91)))))))))</f>
        <v/>
      </c>
      <c r="N33" s="5">
        <f>IF(13&lt;=6,'前提'!$B$35*'前提'!$B$36,IF(13&lt;=12,'前提'!$B$35*'前提'!$B$37,'前提'!$B$38*(IF(13&lt;=6,'前提'!$B$85,IF(13&lt;=12,'前提'!$B$86,IF(13&lt;=18,'前提'!$B$87,IF(13&lt;=24,'前提'!$B$88,IF(13&lt;=36,'前提'!$B$89,IF(13&lt;=48,'前提'!$B$90,'前提'!$B$91)))))))))</f>
        <v/>
      </c>
      <c r="O33" s="5">
        <f>IF(14&lt;=6,'前提'!$B$35*'前提'!$B$36,IF(14&lt;=12,'前提'!$B$35*'前提'!$B$37,'前提'!$B$38*(IF(14&lt;=6,'前提'!$B$85,IF(14&lt;=12,'前提'!$B$86,IF(14&lt;=18,'前提'!$B$87,IF(14&lt;=24,'前提'!$B$88,IF(14&lt;=36,'前提'!$B$89,IF(14&lt;=48,'前提'!$B$90,'前提'!$B$91)))))))))</f>
        <v/>
      </c>
      <c r="P33" s="5">
        <f>IF(15&lt;=6,'前提'!$B$35*'前提'!$B$36,IF(15&lt;=12,'前提'!$B$35*'前提'!$B$37,'前提'!$B$38*(IF(15&lt;=6,'前提'!$B$85,IF(15&lt;=12,'前提'!$B$86,IF(15&lt;=18,'前提'!$B$87,IF(15&lt;=24,'前提'!$B$88,IF(15&lt;=36,'前提'!$B$89,IF(15&lt;=48,'前提'!$B$90,'前提'!$B$91)))))))))</f>
        <v/>
      </c>
      <c r="Q33" s="5">
        <f>IF(16&lt;=6,'前提'!$B$35*'前提'!$B$36,IF(16&lt;=12,'前提'!$B$35*'前提'!$B$37,'前提'!$B$38*(IF(16&lt;=6,'前提'!$B$85,IF(16&lt;=12,'前提'!$B$86,IF(16&lt;=18,'前提'!$B$87,IF(16&lt;=24,'前提'!$B$88,IF(16&lt;=36,'前提'!$B$89,IF(16&lt;=48,'前提'!$B$90,'前提'!$B$91)))))))))</f>
        <v/>
      </c>
      <c r="R33" s="5">
        <f>IF(17&lt;=6,'前提'!$B$35*'前提'!$B$36,IF(17&lt;=12,'前提'!$B$35*'前提'!$B$37,'前提'!$B$38*(IF(17&lt;=6,'前提'!$B$85,IF(17&lt;=12,'前提'!$B$86,IF(17&lt;=18,'前提'!$B$87,IF(17&lt;=24,'前提'!$B$88,IF(17&lt;=36,'前提'!$B$89,IF(17&lt;=48,'前提'!$B$90,'前提'!$B$91)))))))))</f>
        <v/>
      </c>
      <c r="S33" s="5">
        <f>IF(18&lt;=6,'前提'!$B$35*'前提'!$B$36,IF(18&lt;=12,'前提'!$B$35*'前提'!$B$37,'前提'!$B$38*(IF(18&lt;=6,'前提'!$B$85,IF(18&lt;=12,'前提'!$B$86,IF(18&lt;=18,'前提'!$B$87,IF(18&lt;=24,'前提'!$B$88,IF(18&lt;=36,'前提'!$B$89,IF(18&lt;=48,'前提'!$B$90,'前提'!$B$91)))))))))</f>
        <v/>
      </c>
      <c r="T33" s="5">
        <f>IF(19&lt;=6,'前提'!$B$35*'前提'!$B$36,IF(19&lt;=12,'前提'!$B$35*'前提'!$B$37,'前提'!$B$38*(IF(19&lt;=6,'前提'!$B$85,IF(19&lt;=12,'前提'!$B$86,IF(19&lt;=18,'前提'!$B$87,IF(19&lt;=24,'前提'!$B$88,IF(19&lt;=36,'前提'!$B$89,IF(19&lt;=48,'前提'!$B$90,'前提'!$B$91)))))))))</f>
        <v/>
      </c>
      <c r="U33" s="5">
        <f>IF(20&lt;=6,'前提'!$B$35*'前提'!$B$36,IF(20&lt;=12,'前提'!$B$35*'前提'!$B$37,'前提'!$B$38*(IF(20&lt;=6,'前提'!$B$85,IF(20&lt;=12,'前提'!$B$86,IF(20&lt;=18,'前提'!$B$87,IF(20&lt;=24,'前提'!$B$88,IF(20&lt;=36,'前提'!$B$89,IF(20&lt;=48,'前提'!$B$90,'前提'!$B$91)))))))))</f>
        <v/>
      </c>
      <c r="V33" s="5">
        <f>IF(21&lt;=6,'前提'!$B$35*'前提'!$B$36,IF(21&lt;=12,'前提'!$B$35*'前提'!$B$37,'前提'!$B$38*(IF(21&lt;=6,'前提'!$B$85,IF(21&lt;=12,'前提'!$B$86,IF(21&lt;=18,'前提'!$B$87,IF(21&lt;=24,'前提'!$B$88,IF(21&lt;=36,'前提'!$B$89,IF(21&lt;=48,'前提'!$B$90,'前提'!$B$91)))))))))</f>
        <v/>
      </c>
      <c r="W33" s="5">
        <f>IF(22&lt;=6,'前提'!$B$35*'前提'!$B$36,IF(22&lt;=12,'前提'!$B$35*'前提'!$B$37,'前提'!$B$38*(IF(22&lt;=6,'前提'!$B$85,IF(22&lt;=12,'前提'!$B$86,IF(22&lt;=18,'前提'!$B$87,IF(22&lt;=24,'前提'!$B$88,IF(22&lt;=36,'前提'!$B$89,IF(22&lt;=48,'前提'!$B$90,'前提'!$B$91)))))))))</f>
        <v/>
      </c>
      <c r="X33" s="5">
        <f>IF(23&lt;=6,'前提'!$B$35*'前提'!$B$36,IF(23&lt;=12,'前提'!$B$35*'前提'!$B$37,'前提'!$B$38*(IF(23&lt;=6,'前提'!$B$85,IF(23&lt;=12,'前提'!$B$86,IF(23&lt;=18,'前提'!$B$87,IF(23&lt;=24,'前提'!$B$88,IF(23&lt;=36,'前提'!$B$89,IF(23&lt;=48,'前提'!$B$90,'前提'!$B$91)))))))))</f>
        <v/>
      </c>
      <c r="Y33" s="5">
        <f>IF(24&lt;=6,'前提'!$B$35*'前提'!$B$36,IF(24&lt;=12,'前提'!$B$35*'前提'!$B$37,'前提'!$B$38*(IF(24&lt;=6,'前提'!$B$85,IF(24&lt;=12,'前提'!$B$86,IF(24&lt;=18,'前提'!$B$87,IF(24&lt;=24,'前提'!$B$88,IF(24&lt;=36,'前提'!$B$89,IF(24&lt;=48,'前提'!$B$90,'前提'!$B$91)))))))))</f>
        <v/>
      </c>
      <c r="Z33" s="5">
        <f>IF(25&lt;=6,'前提'!$B$35*'前提'!$B$36,IF(25&lt;=12,'前提'!$B$35*'前提'!$B$37,'前提'!$B$38*(IF(25&lt;=6,'前提'!$B$85,IF(25&lt;=12,'前提'!$B$86,IF(25&lt;=18,'前提'!$B$87,IF(25&lt;=24,'前提'!$B$88,IF(25&lt;=36,'前提'!$B$89,IF(25&lt;=48,'前提'!$B$90,'前提'!$B$91)))))))))</f>
        <v/>
      </c>
      <c r="AA33" s="5">
        <f>IF(26&lt;=6,'前提'!$B$35*'前提'!$B$36,IF(26&lt;=12,'前提'!$B$35*'前提'!$B$37,'前提'!$B$38*(IF(26&lt;=6,'前提'!$B$85,IF(26&lt;=12,'前提'!$B$86,IF(26&lt;=18,'前提'!$B$87,IF(26&lt;=24,'前提'!$B$88,IF(26&lt;=36,'前提'!$B$89,IF(26&lt;=48,'前提'!$B$90,'前提'!$B$91)))))))))</f>
        <v/>
      </c>
      <c r="AB33" s="5">
        <f>IF(27&lt;=6,'前提'!$B$35*'前提'!$B$36,IF(27&lt;=12,'前提'!$B$35*'前提'!$B$37,'前提'!$B$38*(IF(27&lt;=6,'前提'!$B$85,IF(27&lt;=12,'前提'!$B$86,IF(27&lt;=18,'前提'!$B$87,IF(27&lt;=24,'前提'!$B$88,IF(27&lt;=36,'前提'!$B$89,IF(27&lt;=48,'前提'!$B$90,'前提'!$B$91)))))))))</f>
        <v/>
      </c>
      <c r="AC33" s="5">
        <f>IF(28&lt;=6,'前提'!$B$35*'前提'!$B$36,IF(28&lt;=12,'前提'!$B$35*'前提'!$B$37,'前提'!$B$38*(IF(28&lt;=6,'前提'!$B$85,IF(28&lt;=12,'前提'!$B$86,IF(28&lt;=18,'前提'!$B$87,IF(28&lt;=24,'前提'!$B$88,IF(28&lt;=36,'前提'!$B$89,IF(28&lt;=48,'前提'!$B$90,'前提'!$B$91)))))))))</f>
        <v/>
      </c>
      <c r="AD33" s="5">
        <f>IF(29&lt;=6,'前提'!$B$35*'前提'!$B$36,IF(29&lt;=12,'前提'!$B$35*'前提'!$B$37,'前提'!$B$38*(IF(29&lt;=6,'前提'!$B$85,IF(29&lt;=12,'前提'!$B$86,IF(29&lt;=18,'前提'!$B$87,IF(29&lt;=24,'前提'!$B$88,IF(29&lt;=36,'前提'!$B$89,IF(29&lt;=48,'前提'!$B$90,'前提'!$B$91)))))))))</f>
        <v/>
      </c>
      <c r="AE33" s="5">
        <f>IF(30&lt;=6,'前提'!$B$35*'前提'!$B$36,IF(30&lt;=12,'前提'!$B$35*'前提'!$B$37,'前提'!$B$38*(IF(30&lt;=6,'前提'!$B$85,IF(30&lt;=12,'前提'!$B$86,IF(30&lt;=18,'前提'!$B$87,IF(30&lt;=24,'前提'!$B$88,IF(30&lt;=36,'前提'!$B$89,IF(30&lt;=48,'前提'!$B$90,'前提'!$B$91)))))))))</f>
        <v/>
      </c>
      <c r="AF33" s="5">
        <f>IF(31&lt;=6,'前提'!$B$35*'前提'!$B$36,IF(31&lt;=12,'前提'!$B$35*'前提'!$B$37,'前提'!$B$38*(IF(31&lt;=6,'前提'!$B$85,IF(31&lt;=12,'前提'!$B$86,IF(31&lt;=18,'前提'!$B$87,IF(31&lt;=24,'前提'!$B$88,IF(31&lt;=36,'前提'!$B$89,IF(31&lt;=48,'前提'!$B$90,'前提'!$B$91)))))))))</f>
        <v/>
      </c>
      <c r="AG33" s="5">
        <f>IF(32&lt;=6,'前提'!$B$35*'前提'!$B$36,IF(32&lt;=12,'前提'!$B$35*'前提'!$B$37,'前提'!$B$38*(IF(32&lt;=6,'前提'!$B$85,IF(32&lt;=12,'前提'!$B$86,IF(32&lt;=18,'前提'!$B$87,IF(32&lt;=24,'前提'!$B$88,IF(32&lt;=36,'前提'!$B$89,IF(32&lt;=48,'前提'!$B$90,'前提'!$B$91)))))))))</f>
        <v/>
      </c>
      <c r="AH33" s="5">
        <f>IF(33&lt;=6,'前提'!$B$35*'前提'!$B$36,IF(33&lt;=12,'前提'!$B$35*'前提'!$B$37,'前提'!$B$38*(IF(33&lt;=6,'前提'!$B$85,IF(33&lt;=12,'前提'!$B$86,IF(33&lt;=18,'前提'!$B$87,IF(33&lt;=24,'前提'!$B$88,IF(33&lt;=36,'前提'!$B$89,IF(33&lt;=48,'前提'!$B$90,'前提'!$B$91)))))))))</f>
        <v/>
      </c>
      <c r="AI33" s="5">
        <f>IF(34&lt;=6,'前提'!$B$35*'前提'!$B$36,IF(34&lt;=12,'前提'!$B$35*'前提'!$B$37,'前提'!$B$38*(IF(34&lt;=6,'前提'!$B$85,IF(34&lt;=12,'前提'!$B$86,IF(34&lt;=18,'前提'!$B$87,IF(34&lt;=24,'前提'!$B$88,IF(34&lt;=36,'前提'!$B$89,IF(34&lt;=48,'前提'!$B$90,'前提'!$B$91)))))))))</f>
        <v/>
      </c>
      <c r="AJ33" s="5">
        <f>IF(35&lt;=6,'前提'!$B$35*'前提'!$B$36,IF(35&lt;=12,'前提'!$B$35*'前提'!$B$37,'前提'!$B$38*(IF(35&lt;=6,'前提'!$B$85,IF(35&lt;=12,'前提'!$B$86,IF(35&lt;=18,'前提'!$B$87,IF(35&lt;=24,'前提'!$B$88,IF(35&lt;=36,'前提'!$B$89,IF(35&lt;=48,'前提'!$B$90,'前提'!$B$91)))))))))</f>
        <v/>
      </c>
      <c r="AK33" s="5">
        <f>IF(36&lt;=6,'前提'!$B$35*'前提'!$B$36,IF(36&lt;=12,'前提'!$B$35*'前提'!$B$37,'前提'!$B$38*(IF(36&lt;=6,'前提'!$B$85,IF(36&lt;=12,'前提'!$B$86,IF(36&lt;=18,'前提'!$B$87,IF(36&lt;=24,'前提'!$B$88,IF(36&lt;=36,'前提'!$B$89,IF(36&lt;=48,'前提'!$B$90,'前提'!$B$91)))))))))</f>
        <v/>
      </c>
      <c r="AL33" s="5">
        <f>IF(37&lt;=6,'前提'!$B$35*'前提'!$B$36,IF(37&lt;=12,'前提'!$B$35*'前提'!$B$37,'前提'!$B$38*(IF(37&lt;=6,'前提'!$B$85,IF(37&lt;=12,'前提'!$B$86,IF(37&lt;=18,'前提'!$B$87,IF(37&lt;=24,'前提'!$B$88,IF(37&lt;=36,'前提'!$B$89,IF(37&lt;=48,'前提'!$B$90,'前提'!$B$91)))))))))</f>
        <v/>
      </c>
      <c r="AM33" s="5">
        <f>IF(38&lt;=6,'前提'!$B$35*'前提'!$B$36,IF(38&lt;=12,'前提'!$B$35*'前提'!$B$37,'前提'!$B$38*(IF(38&lt;=6,'前提'!$B$85,IF(38&lt;=12,'前提'!$B$86,IF(38&lt;=18,'前提'!$B$87,IF(38&lt;=24,'前提'!$B$88,IF(38&lt;=36,'前提'!$B$89,IF(38&lt;=48,'前提'!$B$90,'前提'!$B$91)))))))))</f>
        <v/>
      </c>
      <c r="AN33" s="5">
        <f>IF(39&lt;=6,'前提'!$B$35*'前提'!$B$36,IF(39&lt;=12,'前提'!$B$35*'前提'!$B$37,'前提'!$B$38*(IF(39&lt;=6,'前提'!$B$85,IF(39&lt;=12,'前提'!$B$86,IF(39&lt;=18,'前提'!$B$87,IF(39&lt;=24,'前提'!$B$88,IF(39&lt;=36,'前提'!$B$89,IF(39&lt;=48,'前提'!$B$90,'前提'!$B$91)))))))))</f>
        <v/>
      </c>
      <c r="AO33" s="5">
        <f>IF(40&lt;=6,'前提'!$B$35*'前提'!$B$36,IF(40&lt;=12,'前提'!$B$35*'前提'!$B$37,'前提'!$B$38*(IF(40&lt;=6,'前提'!$B$85,IF(40&lt;=12,'前提'!$B$86,IF(40&lt;=18,'前提'!$B$87,IF(40&lt;=24,'前提'!$B$88,IF(40&lt;=36,'前提'!$B$89,IF(40&lt;=48,'前提'!$B$90,'前提'!$B$91)))))))))</f>
        <v/>
      </c>
      <c r="AP33" s="5">
        <f>IF(41&lt;=6,'前提'!$B$35*'前提'!$B$36,IF(41&lt;=12,'前提'!$B$35*'前提'!$B$37,'前提'!$B$38*(IF(41&lt;=6,'前提'!$B$85,IF(41&lt;=12,'前提'!$B$86,IF(41&lt;=18,'前提'!$B$87,IF(41&lt;=24,'前提'!$B$88,IF(41&lt;=36,'前提'!$B$89,IF(41&lt;=48,'前提'!$B$90,'前提'!$B$91)))))))))</f>
        <v/>
      </c>
      <c r="AQ33" s="5">
        <f>IF(42&lt;=6,'前提'!$B$35*'前提'!$B$36,IF(42&lt;=12,'前提'!$B$35*'前提'!$B$37,'前提'!$B$38*(IF(42&lt;=6,'前提'!$B$85,IF(42&lt;=12,'前提'!$B$86,IF(42&lt;=18,'前提'!$B$87,IF(42&lt;=24,'前提'!$B$88,IF(42&lt;=36,'前提'!$B$89,IF(42&lt;=48,'前提'!$B$90,'前提'!$B$91)))))))))</f>
        <v/>
      </c>
      <c r="AR33" s="5">
        <f>IF(43&lt;=6,'前提'!$B$35*'前提'!$B$36,IF(43&lt;=12,'前提'!$B$35*'前提'!$B$37,'前提'!$B$38*(IF(43&lt;=6,'前提'!$B$85,IF(43&lt;=12,'前提'!$B$86,IF(43&lt;=18,'前提'!$B$87,IF(43&lt;=24,'前提'!$B$88,IF(43&lt;=36,'前提'!$B$89,IF(43&lt;=48,'前提'!$B$90,'前提'!$B$91)))))))))</f>
        <v/>
      </c>
      <c r="AS33" s="5">
        <f>IF(44&lt;=6,'前提'!$B$35*'前提'!$B$36,IF(44&lt;=12,'前提'!$B$35*'前提'!$B$37,'前提'!$B$38*(IF(44&lt;=6,'前提'!$B$85,IF(44&lt;=12,'前提'!$B$86,IF(44&lt;=18,'前提'!$B$87,IF(44&lt;=24,'前提'!$B$88,IF(44&lt;=36,'前提'!$B$89,IF(44&lt;=48,'前提'!$B$90,'前提'!$B$91)))))))))</f>
        <v/>
      </c>
      <c r="AT33" s="5">
        <f>IF(45&lt;=6,'前提'!$B$35*'前提'!$B$36,IF(45&lt;=12,'前提'!$B$35*'前提'!$B$37,'前提'!$B$38*(IF(45&lt;=6,'前提'!$B$85,IF(45&lt;=12,'前提'!$B$86,IF(45&lt;=18,'前提'!$B$87,IF(45&lt;=24,'前提'!$B$88,IF(45&lt;=36,'前提'!$B$89,IF(45&lt;=48,'前提'!$B$90,'前提'!$B$91)))))))))</f>
        <v/>
      </c>
      <c r="AU33" s="5">
        <f>IF(46&lt;=6,'前提'!$B$35*'前提'!$B$36,IF(46&lt;=12,'前提'!$B$35*'前提'!$B$37,'前提'!$B$38*(IF(46&lt;=6,'前提'!$B$85,IF(46&lt;=12,'前提'!$B$86,IF(46&lt;=18,'前提'!$B$87,IF(46&lt;=24,'前提'!$B$88,IF(46&lt;=36,'前提'!$B$89,IF(46&lt;=48,'前提'!$B$90,'前提'!$B$91)))))))))</f>
        <v/>
      </c>
      <c r="AV33" s="5">
        <f>IF(47&lt;=6,'前提'!$B$35*'前提'!$B$36,IF(47&lt;=12,'前提'!$B$35*'前提'!$B$37,'前提'!$B$38*(IF(47&lt;=6,'前提'!$B$85,IF(47&lt;=12,'前提'!$B$86,IF(47&lt;=18,'前提'!$B$87,IF(47&lt;=24,'前提'!$B$88,IF(47&lt;=36,'前提'!$B$89,IF(47&lt;=48,'前提'!$B$90,'前提'!$B$91)))))))))</f>
        <v/>
      </c>
      <c r="AW33" s="5">
        <f>IF(48&lt;=6,'前提'!$B$35*'前提'!$B$36,IF(48&lt;=12,'前提'!$B$35*'前提'!$B$37,'前提'!$B$38*(IF(48&lt;=6,'前提'!$B$85,IF(48&lt;=12,'前提'!$B$86,IF(48&lt;=18,'前提'!$B$87,IF(48&lt;=24,'前提'!$B$88,IF(48&lt;=36,'前提'!$B$89,IF(48&lt;=48,'前提'!$B$90,'前提'!$B$91)))))))))</f>
        <v/>
      </c>
      <c r="AX33" s="5">
        <f>IF(49&lt;=6,'前提'!$B$35*'前提'!$B$36,IF(49&lt;=12,'前提'!$B$35*'前提'!$B$37,'前提'!$B$38*(IF(49&lt;=6,'前提'!$B$85,IF(49&lt;=12,'前提'!$B$86,IF(49&lt;=18,'前提'!$B$87,IF(49&lt;=24,'前提'!$B$88,IF(49&lt;=36,'前提'!$B$89,IF(49&lt;=48,'前提'!$B$90,'前提'!$B$91)))))))))</f>
        <v/>
      </c>
      <c r="AY33" s="5">
        <f>IF(50&lt;=6,'前提'!$B$35*'前提'!$B$36,IF(50&lt;=12,'前提'!$B$35*'前提'!$B$37,'前提'!$B$38*(IF(50&lt;=6,'前提'!$B$85,IF(50&lt;=12,'前提'!$B$86,IF(50&lt;=18,'前提'!$B$87,IF(50&lt;=24,'前提'!$B$88,IF(50&lt;=36,'前提'!$B$89,IF(50&lt;=48,'前提'!$B$90,'前提'!$B$91)))))))))</f>
        <v/>
      </c>
      <c r="AZ33" s="5">
        <f>IF(51&lt;=6,'前提'!$B$35*'前提'!$B$36,IF(51&lt;=12,'前提'!$B$35*'前提'!$B$37,'前提'!$B$38*(IF(51&lt;=6,'前提'!$B$85,IF(51&lt;=12,'前提'!$B$86,IF(51&lt;=18,'前提'!$B$87,IF(51&lt;=24,'前提'!$B$88,IF(51&lt;=36,'前提'!$B$89,IF(51&lt;=48,'前提'!$B$90,'前提'!$B$91)))))))))</f>
        <v/>
      </c>
      <c r="BA33" s="5">
        <f>IF(52&lt;=6,'前提'!$B$35*'前提'!$B$36,IF(52&lt;=12,'前提'!$B$35*'前提'!$B$37,'前提'!$B$38*(IF(52&lt;=6,'前提'!$B$85,IF(52&lt;=12,'前提'!$B$86,IF(52&lt;=18,'前提'!$B$87,IF(52&lt;=24,'前提'!$B$88,IF(52&lt;=36,'前提'!$B$89,IF(52&lt;=48,'前提'!$B$90,'前提'!$B$91)))))))))</f>
        <v/>
      </c>
      <c r="BB33" s="5">
        <f>IF(53&lt;=6,'前提'!$B$35*'前提'!$B$36,IF(53&lt;=12,'前提'!$B$35*'前提'!$B$37,'前提'!$B$38*(IF(53&lt;=6,'前提'!$B$85,IF(53&lt;=12,'前提'!$B$86,IF(53&lt;=18,'前提'!$B$87,IF(53&lt;=24,'前提'!$B$88,IF(53&lt;=36,'前提'!$B$89,IF(53&lt;=48,'前提'!$B$90,'前提'!$B$91)))))))))</f>
        <v/>
      </c>
      <c r="BC33" s="5">
        <f>IF(54&lt;=6,'前提'!$B$35*'前提'!$B$36,IF(54&lt;=12,'前提'!$B$35*'前提'!$B$37,'前提'!$B$38*(IF(54&lt;=6,'前提'!$B$85,IF(54&lt;=12,'前提'!$B$86,IF(54&lt;=18,'前提'!$B$87,IF(54&lt;=24,'前提'!$B$88,IF(54&lt;=36,'前提'!$B$89,IF(54&lt;=48,'前提'!$B$90,'前提'!$B$91)))))))))</f>
        <v/>
      </c>
      <c r="BD33" s="5">
        <f>IF(55&lt;=6,'前提'!$B$35*'前提'!$B$36,IF(55&lt;=12,'前提'!$B$35*'前提'!$B$37,'前提'!$B$38*(IF(55&lt;=6,'前提'!$B$85,IF(55&lt;=12,'前提'!$B$86,IF(55&lt;=18,'前提'!$B$87,IF(55&lt;=24,'前提'!$B$88,IF(55&lt;=36,'前提'!$B$89,IF(55&lt;=48,'前提'!$B$90,'前提'!$B$91)))))))))</f>
        <v/>
      </c>
      <c r="BE33" s="5">
        <f>IF(56&lt;=6,'前提'!$B$35*'前提'!$B$36,IF(56&lt;=12,'前提'!$B$35*'前提'!$B$37,'前提'!$B$38*(IF(56&lt;=6,'前提'!$B$85,IF(56&lt;=12,'前提'!$B$86,IF(56&lt;=18,'前提'!$B$87,IF(56&lt;=24,'前提'!$B$88,IF(56&lt;=36,'前提'!$B$89,IF(56&lt;=48,'前提'!$B$90,'前提'!$B$91)))))))))</f>
        <v/>
      </c>
      <c r="BF33" s="5">
        <f>IF(57&lt;=6,'前提'!$B$35*'前提'!$B$36,IF(57&lt;=12,'前提'!$B$35*'前提'!$B$37,'前提'!$B$38*(IF(57&lt;=6,'前提'!$B$85,IF(57&lt;=12,'前提'!$B$86,IF(57&lt;=18,'前提'!$B$87,IF(57&lt;=24,'前提'!$B$88,IF(57&lt;=36,'前提'!$B$89,IF(57&lt;=48,'前提'!$B$90,'前提'!$B$91)))))))))</f>
        <v/>
      </c>
      <c r="BG33" s="5">
        <f>IF(58&lt;=6,'前提'!$B$35*'前提'!$B$36,IF(58&lt;=12,'前提'!$B$35*'前提'!$B$37,'前提'!$B$38*(IF(58&lt;=6,'前提'!$B$85,IF(58&lt;=12,'前提'!$B$86,IF(58&lt;=18,'前提'!$B$87,IF(58&lt;=24,'前提'!$B$88,IF(58&lt;=36,'前提'!$B$89,IF(58&lt;=48,'前提'!$B$90,'前提'!$B$91)))))))))</f>
        <v/>
      </c>
      <c r="BH33" s="5">
        <f>IF(59&lt;=6,'前提'!$B$35*'前提'!$B$36,IF(59&lt;=12,'前提'!$B$35*'前提'!$B$37,'前提'!$B$38*(IF(59&lt;=6,'前提'!$B$85,IF(59&lt;=12,'前提'!$B$86,IF(59&lt;=18,'前提'!$B$87,IF(59&lt;=24,'前提'!$B$88,IF(59&lt;=36,'前提'!$B$89,IF(59&lt;=48,'前提'!$B$90,'前提'!$B$91)))))))))</f>
        <v/>
      </c>
      <c r="BI33" s="5">
        <f>IF(60&lt;=6,'前提'!$B$35*'前提'!$B$36,IF(60&lt;=12,'前提'!$B$35*'前提'!$B$37,'前提'!$B$38*(IF(60&lt;=6,'前提'!$B$85,IF(60&lt;=12,'前提'!$B$86,IF(60&lt;=18,'前提'!$B$87,IF(60&lt;=24,'前提'!$B$88,IF(60&lt;=36,'前提'!$B$89,IF(60&lt;=48,'前提'!$B$90,'前提'!$B$91)))))))))</f>
        <v/>
      </c>
    </row>
    <row r="34">
      <c r="A34" t="inlineStr">
        <is>
          <t>営業サポート</t>
        </is>
      </c>
      <c r="B34" s="5">
        <f>'前提'!$B$41*(IF(1&lt;=6,'前提'!$B$94,IF(1&lt;=12,'前提'!$B$95,IF(1&lt;=18,'前提'!$B$96,IF(1&lt;=24,'前提'!$B$97,IF(1&lt;=36,'前提'!$B$98,IF(1&lt;=48,'前提'!$B$99,'前提'!$B$100)))))))</f>
        <v/>
      </c>
      <c r="C34" s="5">
        <f>'前提'!$B$41*(IF(2&lt;=6,'前提'!$B$94,IF(2&lt;=12,'前提'!$B$95,IF(2&lt;=18,'前提'!$B$96,IF(2&lt;=24,'前提'!$B$97,IF(2&lt;=36,'前提'!$B$98,IF(2&lt;=48,'前提'!$B$99,'前提'!$B$100)))))))</f>
        <v/>
      </c>
      <c r="D34" s="5">
        <f>'前提'!$B$41*(IF(3&lt;=6,'前提'!$B$94,IF(3&lt;=12,'前提'!$B$95,IF(3&lt;=18,'前提'!$B$96,IF(3&lt;=24,'前提'!$B$97,IF(3&lt;=36,'前提'!$B$98,IF(3&lt;=48,'前提'!$B$99,'前提'!$B$100)))))))</f>
        <v/>
      </c>
      <c r="E34" s="5">
        <f>'前提'!$B$41*(IF(4&lt;=6,'前提'!$B$94,IF(4&lt;=12,'前提'!$B$95,IF(4&lt;=18,'前提'!$B$96,IF(4&lt;=24,'前提'!$B$97,IF(4&lt;=36,'前提'!$B$98,IF(4&lt;=48,'前提'!$B$99,'前提'!$B$100)))))))</f>
        <v/>
      </c>
      <c r="F34" s="5">
        <f>'前提'!$B$41*(IF(5&lt;=6,'前提'!$B$94,IF(5&lt;=12,'前提'!$B$95,IF(5&lt;=18,'前提'!$B$96,IF(5&lt;=24,'前提'!$B$97,IF(5&lt;=36,'前提'!$B$98,IF(5&lt;=48,'前提'!$B$99,'前提'!$B$100)))))))</f>
        <v/>
      </c>
      <c r="G34" s="5">
        <f>'前提'!$B$41*(IF(6&lt;=6,'前提'!$B$94,IF(6&lt;=12,'前提'!$B$95,IF(6&lt;=18,'前提'!$B$96,IF(6&lt;=24,'前提'!$B$97,IF(6&lt;=36,'前提'!$B$98,IF(6&lt;=48,'前提'!$B$99,'前提'!$B$100)))))))</f>
        <v/>
      </c>
      <c r="H34" s="5">
        <f>'前提'!$B$41*(IF(7&lt;=6,'前提'!$B$94,IF(7&lt;=12,'前提'!$B$95,IF(7&lt;=18,'前提'!$B$96,IF(7&lt;=24,'前提'!$B$97,IF(7&lt;=36,'前提'!$B$98,IF(7&lt;=48,'前提'!$B$99,'前提'!$B$100)))))))</f>
        <v/>
      </c>
      <c r="I34" s="5">
        <f>'前提'!$B$41*(IF(8&lt;=6,'前提'!$B$94,IF(8&lt;=12,'前提'!$B$95,IF(8&lt;=18,'前提'!$B$96,IF(8&lt;=24,'前提'!$B$97,IF(8&lt;=36,'前提'!$B$98,IF(8&lt;=48,'前提'!$B$99,'前提'!$B$100)))))))</f>
        <v/>
      </c>
      <c r="J34" s="5">
        <f>'前提'!$B$41*(IF(9&lt;=6,'前提'!$B$94,IF(9&lt;=12,'前提'!$B$95,IF(9&lt;=18,'前提'!$B$96,IF(9&lt;=24,'前提'!$B$97,IF(9&lt;=36,'前提'!$B$98,IF(9&lt;=48,'前提'!$B$99,'前提'!$B$100)))))))</f>
        <v/>
      </c>
      <c r="K34" s="5">
        <f>'前提'!$B$41*(IF(10&lt;=6,'前提'!$B$94,IF(10&lt;=12,'前提'!$B$95,IF(10&lt;=18,'前提'!$B$96,IF(10&lt;=24,'前提'!$B$97,IF(10&lt;=36,'前提'!$B$98,IF(10&lt;=48,'前提'!$B$99,'前提'!$B$100)))))))</f>
        <v/>
      </c>
      <c r="L34" s="5">
        <f>'前提'!$B$41*(IF(11&lt;=6,'前提'!$B$94,IF(11&lt;=12,'前提'!$B$95,IF(11&lt;=18,'前提'!$B$96,IF(11&lt;=24,'前提'!$B$97,IF(11&lt;=36,'前提'!$B$98,IF(11&lt;=48,'前提'!$B$99,'前提'!$B$100)))))))</f>
        <v/>
      </c>
      <c r="M34" s="5">
        <f>'前提'!$B$41*(IF(12&lt;=6,'前提'!$B$94,IF(12&lt;=12,'前提'!$B$95,IF(12&lt;=18,'前提'!$B$96,IF(12&lt;=24,'前提'!$B$97,IF(12&lt;=36,'前提'!$B$98,IF(12&lt;=48,'前提'!$B$99,'前提'!$B$100)))))))</f>
        <v/>
      </c>
      <c r="N34" s="5">
        <f>'前提'!$B$41*(IF(13&lt;=6,'前提'!$B$94,IF(13&lt;=12,'前提'!$B$95,IF(13&lt;=18,'前提'!$B$96,IF(13&lt;=24,'前提'!$B$97,IF(13&lt;=36,'前提'!$B$98,IF(13&lt;=48,'前提'!$B$99,'前提'!$B$100)))))))</f>
        <v/>
      </c>
      <c r="O34" s="5">
        <f>'前提'!$B$41*(IF(14&lt;=6,'前提'!$B$94,IF(14&lt;=12,'前提'!$B$95,IF(14&lt;=18,'前提'!$B$96,IF(14&lt;=24,'前提'!$B$97,IF(14&lt;=36,'前提'!$B$98,IF(14&lt;=48,'前提'!$B$99,'前提'!$B$100)))))))</f>
        <v/>
      </c>
      <c r="P34" s="5">
        <f>'前提'!$B$41*(IF(15&lt;=6,'前提'!$B$94,IF(15&lt;=12,'前提'!$B$95,IF(15&lt;=18,'前提'!$B$96,IF(15&lt;=24,'前提'!$B$97,IF(15&lt;=36,'前提'!$B$98,IF(15&lt;=48,'前提'!$B$99,'前提'!$B$100)))))))</f>
        <v/>
      </c>
      <c r="Q34" s="5">
        <f>'前提'!$B$41*(IF(16&lt;=6,'前提'!$B$94,IF(16&lt;=12,'前提'!$B$95,IF(16&lt;=18,'前提'!$B$96,IF(16&lt;=24,'前提'!$B$97,IF(16&lt;=36,'前提'!$B$98,IF(16&lt;=48,'前提'!$B$99,'前提'!$B$100)))))))</f>
        <v/>
      </c>
      <c r="R34" s="5">
        <f>'前提'!$B$41*(IF(17&lt;=6,'前提'!$B$94,IF(17&lt;=12,'前提'!$B$95,IF(17&lt;=18,'前提'!$B$96,IF(17&lt;=24,'前提'!$B$97,IF(17&lt;=36,'前提'!$B$98,IF(17&lt;=48,'前提'!$B$99,'前提'!$B$100)))))))</f>
        <v/>
      </c>
      <c r="S34" s="5">
        <f>'前提'!$B$41*(IF(18&lt;=6,'前提'!$B$94,IF(18&lt;=12,'前提'!$B$95,IF(18&lt;=18,'前提'!$B$96,IF(18&lt;=24,'前提'!$B$97,IF(18&lt;=36,'前提'!$B$98,IF(18&lt;=48,'前提'!$B$99,'前提'!$B$100)))))))</f>
        <v/>
      </c>
      <c r="T34" s="5">
        <f>'前提'!$B$41*(IF(19&lt;=6,'前提'!$B$94,IF(19&lt;=12,'前提'!$B$95,IF(19&lt;=18,'前提'!$B$96,IF(19&lt;=24,'前提'!$B$97,IF(19&lt;=36,'前提'!$B$98,IF(19&lt;=48,'前提'!$B$99,'前提'!$B$100)))))))</f>
        <v/>
      </c>
      <c r="U34" s="5">
        <f>'前提'!$B$41*(IF(20&lt;=6,'前提'!$B$94,IF(20&lt;=12,'前提'!$B$95,IF(20&lt;=18,'前提'!$B$96,IF(20&lt;=24,'前提'!$B$97,IF(20&lt;=36,'前提'!$B$98,IF(20&lt;=48,'前提'!$B$99,'前提'!$B$100)))))))</f>
        <v/>
      </c>
      <c r="V34" s="5">
        <f>'前提'!$B$41*(IF(21&lt;=6,'前提'!$B$94,IF(21&lt;=12,'前提'!$B$95,IF(21&lt;=18,'前提'!$B$96,IF(21&lt;=24,'前提'!$B$97,IF(21&lt;=36,'前提'!$B$98,IF(21&lt;=48,'前提'!$B$99,'前提'!$B$100)))))))</f>
        <v/>
      </c>
      <c r="W34" s="5">
        <f>'前提'!$B$41*(IF(22&lt;=6,'前提'!$B$94,IF(22&lt;=12,'前提'!$B$95,IF(22&lt;=18,'前提'!$B$96,IF(22&lt;=24,'前提'!$B$97,IF(22&lt;=36,'前提'!$B$98,IF(22&lt;=48,'前提'!$B$99,'前提'!$B$100)))))))</f>
        <v/>
      </c>
      <c r="X34" s="5">
        <f>'前提'!$B$41*(IF(23&lt;=6,'前提'!$B$94,IF(23&lt;=12,'前提'!$B$95,IF(23&lt;=18,'前提'!$B$96,IF(23&lt;=24,'前提'!$B$97,IF(23&lt;=36,'前提'!$B$98,IF(23&lt;=48,'前提'!$B$99,'前提'!$B$100)))))))</f>
        <v/>
      </c>
      <c r="Y34" s="5">
        <f>'前提'!$B$41*(IF(24&lt;=6,'前提'!$B$94,IF(24&lt;=12,'前提'!$B$95,IF(24&lt;=18,'前提'!$B$96,IF(24&lt;=24,'前提'!$B$97,IF(24&lt;=36,'前提'!$B$98,IF(24&lt;=48,'前提'!$B$99,'前提'!$B$100)))))))</f>
        <v/>
      </c>
      <c r="Z34" s="5">
        <f>'前提'!$B$41*(IF(25&lt;=6,'前提'!$B$94,IF(25&lt;=12,'前提'!$B$95,IF(25&lt;=18,'前提'!$B$96,IF(25&lt;=24,'前提'!$B$97,IF(25&lt;=36,'前提'!$B$98,IF(25&lt;=48,'前提'!$B$99,'前提'!$B$100)))))))</f>
        <v/>
      </c>
      <c r="AA34" s="5">
        <f>'前提'!$B$41*(IF(26&lt;=6,'前提'!$B$94,IF(26&lt;=12,'前提'!$B$95,IF(26&lt;=18,'前提'!$B$96,IF(26&lt;=24,'前提'!$B$97,IF(26&lt;=36,'前提'!$B$98,IF(26&lt;=48,'前提'!$B$99,'前提'!$B$100)))))))</f>
        <v/>
      </c>
      <c r="AB34" s="5">
        <f>'前提'!$B$41*(IF(27&lt;=6,'前提'!$B$94,IF(27&lt;=12,'前提'!$B$95,IF(27&lt;=18,'前提'!$B$96,IF(27&lt;=24,'前提'!$B$97,IF(27&lt;=36,'前提'!$B$98,IF(27&lt;=48,'前提'!$B$99,'前提'!$B$100)))))))</f>
        <v/>
      </c>
      <c r="AC34" s="5">
        <f>'前提'!$B$41*(IF(28&lt;=6,'前提'!$B$94,IF(28&lt;=12,'前提'!$B$95,IF(28&lt;=18,'前提'!$B$96,IF(28&lt;=24,'前提'!$B$97,IF(28&lt;=36,'前提'!$B$98,IF(28&lt;=48,'前提'!$B$99,'前提'!$B$100)))))))</f>
        <v/>
      </c>
      <c r="AD34" s="5">
        <f>'前提'!$B$41*(IF(29&lt;=6,'前提'!$B$94,IF(29&lt;=12,'前提'!$B$95,IF(29&lt;=18,'前提'!$B$96,IF(29&lt;=24,'前提'!$B$97,IF(29&lt;=36,'前提'!$B$98,IF(29&lt;=48,'前提'!$B$99,'前提'!$B$100)))))))</f>
        <v/>
      </c>
      <c r="AE34" s="5">
        <f>'前提'!$B$41*(IF(30&lt;=6,'前提'!$B$94,IF(30&lt;=12,'前提'!$B$95,IF(30&lt;=18,'前提'!$B$96,IF(30&lt;=24,'前提'!$B$97,IF(30&lt;=36,'前提'!$B$98,IF(30&lt;=48,'前提'!$B$99,'前提'!$B$100)))))))</f>
        <v/>
      </c>
      <c r="AF34" s="5">
        <f>'前提'!$B$41*(IF(31&lt;=6,'前提'!$B$94,IF(31&lt;=12,'前提'!$B$95,IF(31&lt;=18,'前提'!$B$96,IF(31&lt;=24,'前提'!$B$97,IF(31&lt;=36,'前提'!$B$98,IF(31&lt;=48,'前提'!$B$99,'前提'!$B$100)))))))</f>
        <v/>
      </c>
      <c r="AG34" s="5">
        <f>'前提'!$B$41*(IF(32&lt;=6,'前提'!$B$94,IF(32&lt;=12,'前提'!$B$95,IF(32&lt;=18,'前提'!$B$96,IF(32&lt;=24,'前提'!$B$97,IF(32&lt;=36,'前提'!$B$98,IF(32&lt;=48,'前提'!$B$99,'前提'!$B$100)))))))</f>
        <v/>
      </c>
      <c r="AH34" s="5">
        <f>'前提'!$B$41*(IF(33&lt;=6,'前提'!$B$94,IF(33&lt;=12,'前提'!$B$95,IF(33&lt;=18,'前提'!$B$96,IF(33&lt;=24,'前提'!$B$97,IF(33&lt;=36,'前提'!$B$98,IF(33&lt;=48,'前提'!$B$99,'前提'!$B$100)))))))</f>
        <v/>
      </c>
      <c r="AI34" s="5">
        <f>'前提'!$B$41*(IF(34&lt;=6,'前提'!$B$94,IF(34&lt;=12,'前提'!$B$95,IF(34&lt;=18,'前提'!$B$96,IF(34&lt;=24,'前提'!$B$97,IF(34&lt;=36,'前提'!$B$98,IF(34&lt;=48,'前提'!$B$99,'前提'!$B$100)))))))</f>
        <v/>
      </c>
      <c r="AJ34" s="5">
        <f>'前提'!$B$41*(IF(35&lt;=6,'前提'!$B$94,IF(35&lt;=12,'前提'!$B$95,IF(35&lt;=18,'前提'!$B$96,IF(35&lt;=24,'前提'!$B$97,IF(35&lt;=36,'前提'!$B$98,IF(35&lt;=48,'前提'!$B$99,'前提'!$B$100)))))))</f>
        <v/>
      </c>
      <c r="AK34" s="5">
        <f>'前提'!$B$41*(IF(36&lt;=6,'前提'!$B$94,IF(36&lt;=12,'前提'!$B$95,IF(36&lt;=18,'前提'!$B$96,IF(36&lt;=24,'前提'!$B$97,IF(36&lt;=36,'前提'!$B$98,IF(36&lt;=48,'前提'!$B$99,'前提'!$B$100)))))))</f>
        <v/>
      </c>
      <c r="AL34" s="5">
        <f>'前提'!$B$41*(IF(37&lt;=6,'前提'!$B$94,IF(37&lt;=12,'前提'!$B$95,IF(37&lt;=18,'前提'!$B$96,IF(37&lt;=24,'前提'!$B$97,IF(37&lt;=36,'前提'!$B$98,IF(37&lt;=48,'前提'!$B$99,'前提'!$B$100)))))))</f>
        <v/>
      </c>
      <c r="AM34" s="5">
        <f>'前提'!$B$41*(IF(38&lt;=6,'前提'!$B$94,IF(38&lt;=12,'前提'!$B$95,IF(38&lt;=18,'前提'!$B$96,IF(38&lt;=24,'前提'!$B$97,IF(38&lt;=36,'前提'!$B$98,IF(38&lt;=48,'前提'!$B$99,'前提'!$B$100)))))))</f>
        <v/>
      </c>
      <c r="AN34" s="5">
        <f>'前提'!$B$41*(IF(39&lt;=6,'前提'!$B$94,IF(39&lt;=12,'前提'!$B$95,IF(39&lt;=18,'前提'!$B$96,IF(39&lt;=24,'前提'!$B$97,IF(39&lt;=36,'前提'!$B$98,IF(39&lt;=48,'前提'!$B$99,'前提'!$B$100)))))))</f>
        <v/>
      </c>
      <c r="AO34" s="5">
        <f>'前提'!$B$41*(IF(40&lt;=6,'前提'!$B$94,IF(40&lt;=12,'前提'!$B$95,IF(40&lt;=18,'前提'!$B$96,IF(40&lt;=24,'前提'!$B$97,IF(40&lt;=36,'前提'!$B$98,IF(40&lt;=48,'前提'!$B$99,'前提'!$B$100)))))))</f>
        <v/>
      </c>
      <c r="AP34" s="5">
        <f>'前提'!$B$41*(IF(41&lt;=6,'前提'!$B$94,IF(41&lt;=12,'前提'!$B$95,IF(41&lt;=18,'前提'!$B$96,IF(41&lt;=24,'前提'!$B$97,IF(41&lt;=36,'前提'!$B$98,IF(41&lt;=48,'前提'!$B$99,'前提'!$B$100)))))))</f>
        <v/>
      </c>
      <c r="AQ34" s="5">
        <f>'前提'!$B$41*(IF(42&lt;=6,'前提'!$B$94,IF(42&lt;=12,'前提'!$B$95,IF(42&lt;=18,'前提'!$B$96,IF(42&lt;=24,'前提'!$B$97,IF(42&lt;=36,'前提'!$B$98,IF(42&lt;=48,'前提'!$B$99,'前提'!$B$100)))))))</f>
        <v/>
      </c>
      <c r="AR34" s="5">
        <f>'前提'!$B$41*(IF(43&lt;=6,'前提'!$B$94,IF(43&lt;=12,'前提'!$B$95,IF(43&lt;=18,'前提'!$B$96,IF(43&lt;=24,'前提'!$B$97,IF(43&lt;=36,'前提'!$B$98,IF(43&lt;=48,'前提'!$B$99,'前提'!$B$100)))))))</f>
        <v/>
      </c>
      <c r="AS34" s="5">
        <f>'前提'!$B$41*(IF(44&lt;=6,'前提'!$B$94,IF(44&lt;=12,'前提'!$B$95,IF(44&lt;=18,'前提'!$B$96,IF(44&lt;=24,'前提'!$B$97,IF(44&lt;=36,'前提'!$B$98,IF(44&lt;=48,'前提'!$B$99,'前提'!$B$100)))))))</f>
        <v/>
      </c>
      <c r="AT34" s="5">
        <f>'前提'!$B$41*(IF(45&lt;=6,'前提'!$B$94,IF(45&lt;=12,'前提'!$B$95,IF(45&lt;=18,'前提'!$B$96,IF(45&lt;=24,'前提'!$B$97,IF(45&lt;=36,'前提'!$B$98,IF(45&lt;=48,'前提'!$B$99,'前提'!$B$100)))))))</f>
        <v/>
      </c>
      <c r="AU34" s="5">
        <f>'前提'!$B$41*(IF(46&lt;=6,'前提'!$B$94,IF(46&lt;=12,'前提'!$B$95,IF(46&lt;=18,'前提'!$B$96,IF(46&lt;=24,'前提'!$B$97,IF(46&lt;=36,'前提'!$B$98,IF(46&lt;=48,'前提'!$B$99,'前提'!$B$100)))))))</f>
        <v/>
      </c>
      <c r="AV34" s="5">
        <f>'前提'!$B$41*(IF(47&lt;=6,'前提'!$B$94,IF(47&lt;=12,'前提'!$B$95,IF(47&lt;=18,'前提'!$B$96,IF(47&lt;=24,'前提'!$B$97,IF(47&lt;=36,'前提'!$B$98,IF(47&lt;=48,'前提'!$B$99,'前提'!$B$100)))))))</f>
        <v/>
      </c>
      <c r="AW34" s="5">
        <f>'前提'!$B$41*(IF(48&lt;=6,'前提'!$B$94,IF(48&lt;=12,'前提'!$B$95,IF(48&lt;=18,'前提'!$B$96,IF(48&lt;=24,'前提'!$B$97,IF(48&lt;=36,'前提'!$B$98,IF(48&lt;=48,'前提'!$B$99,'前提'!$B$100)))))))</f>
        <v/>
      </c>
      <c r="AX34" s="5">
        <f>'前提'!$B$41*(IF(49&lt;=6,'前提'!$B$94,IF(49&lt;=12,'前提'!$B$95,IF(49&lt;=18,'前提'!$B$96,IF(49&lt;=24,'前提'!$B$97,IF(49&lt;=36,'前提'!$B$98,IF(49&lt;=48,'前提'!$B$99,'前提'!$B$100)))))))</f>
        <v/>
      </c>
      <c r="AY34" s="5">
        <f>'前提'!$B$41*(IF(50&lt;=6,'前提'!$B$94,IF(50&lt;=12,'前提'!$B$95,IF(50&lt;=18,'前提'!$B$96,IF(50&lt;=24,'前提'!$B$97,IF(50&lt;=36,'前提'!$B$98,IF(50&lt;=48,'前提'!$B$99,'前提'!$B$100)))))))</f>
        <v/>
      </c>
      <c r="AZ34" s="5">
        <f>'前提'!$B$41*(IF(51&lt;=6,'前提'!$B$94,IF(51&lt;=12,'前提'!$B$95,IF(51&lt;=18,'前提'!$B$96,IF(51&lt;=24,'前提'!$B$97,IF(51&lt;=36,'前提'!$B$98,IF(51&lt;=48,'前提'!$B$99,'前提'!$B$100)))))))</f>
        <v/>
      </c>
      <c r="BA34" s="5">
        <f>'前提'!$B$41*(IF(52&lt;=6,'前提'!$B$94,IF(52&lt;=12,'前提'!$B$95,IF(52&lt;=18,'前提'!$B$96,IF(52&lt;=24,'前提'!$B$97,IF(52&lt;=36,'前提'!$B$98,IF(52&lt;=48,'前提'!$B$99,'前提'!$B$100)))))))</f>
        <v/>
      </c>
      <c r="BB34" s="5">
        <f>'前提'!$B$41*(IF(53&lt;=6,'前提'!$B$94,IF(53&lt;=12,'前提'!$B$95,IF(53&lt;=18,'前提'!$B$96,IF(53&lt;=24,'前提'!$B$97,IF(53&lt;=36,'前提'!$B$98,IF(53&lt;=48,'前提'!$B$99,'前提'!$B$100)))))))</f>
        <v/>
      </c>
      <c r="BC34" s="5">
        <f>'前提'!$B$41*(IF(54&lt;=6,'前提'!$B$94,IF(54&lt;=12,'前提'!$B$95,IF(54&lt;=18,'前提'!$B$96,IF(54&lt;=24,'前提'!$B$97,IF(54&lt;=36,'前提'!$B$98,IF(54&lt;=48,'前提'!$B$99,'前提'!$B$100)))))))</f>
        <v/>
      </c>
      <c r="BD34" s="5">
        <f>'前提'!$B$41*(IF(55&lt;=6,'前提'!$B$94,IF(55&lt;=12,'前提'!$B$95,IF(55&lt;=18,'前提'!$B$96,IF(55&lt;=24,'前提'!$B$97,IF(55&lt;=36,'前提'!$B$98,IF(55&lt;=48,'前提'!$B$99,'前提'!$B$100)))))))</f>
        <v/>
      </c>
      <c r="BE34" s="5">
        <f>'前提'!$B$41*(IF(56&lt;=6,'前提'!$B$94,IF(56&lt;=12,'前提'!$B$95,IF(56&lt;=18,'前提'!$B$96,IF(56&lt;=24,'前提'!$B$97,IF(56&lt;=36,'前提'!$B$98,IF(56&lt;=48,'前提'!$B$99,'前提'!$B$100)))))))</f>
        <v/>
      </c>
      <c r="BF34" s="5">
        <f>'前提'!$B$41*(IF(57&lt;=6,'前提'!$B$94,IF(57&lt;=12,'前提'!$B$95,IF(57&lt;=18,'前提'!$B$96,IF(57&lt;=24,'前提'!$B$97,IF(57&lt;=36,'前提'!$B$98,IF(57&lt;=48,'前提'!$B$99,'前提'!$B$100)))))))</f>
        <v/>
      </c>
      <c r="BG34" s="5">
        <f>'前提'!$B$41*(IF(58&lt;=6,'前提'!$B$94,IF(58&lt;=12,'前提'!$B$95,IF(58&lt;=18,'前提'!$B$96,IF(58&lt;=24,'前提'!$B$97,IF(58&lt;=36,'前提'!$B$98,IF(58&lt;=48,'前提'!$B$99,'前提'!$B$100)))))))</f>
        <v/>
      </c>
      <c r="BH34" s="5">
        <f>'前提'!$B$41*(IF(59&lt;=6,'前提'!$B$94,IF(59&lt;=12,'前提'!$B$95,IF(59&lt;=18,'前提'!$B$96,IF(59&lt;=24,'前提'!$B$97,IF(59&lt;=36,'前提'!$B$98,IF(59&lt;=48,'前提'!$B$99,'前提'!$B$100)))))))</f>
        <v/>
      </c>
      <c r="BI34" s="5">
        <f>'前提'!$B$41*(IF(60&lt;=6,'前提'!$B$94,IF(60&lt;=12,'前提'!$B$95,IF(60&lt;=18,'前提'!$B$96,IF(60&lt;=24,'前提'!$B$97,IF(60&lt;=36,'前提'!$B$98,IF(60&lt;=48,'前提'!$B$99,'前提'!$B$100)))))))</f>
        <v/>
      </c>
    </row>
    <row r="35">
      <c r="A35" t="inlineStr">
        <is>
          <t>BPO事務長</t>
        </is>
      </c>
      <c r="B35" s="5">
        <f>IF(1&gt;=7,CEILING(B14/'前提'!$B$29,1)*'前提'!$B$39,0)</f>
        <v/>
      </c>
      <c r="C35" s="5">
        <f>IF(2&gt;=7,CEILING(C14/'前提'!$B$29,1)*'前提'!$B$39,0)</f>
        <v/>
      </c>
      <c r="D35" s="5">
        <f>IF(3&gt;=7,CEILING(D14/'前提'!$B$29,1)*'前提'!$B$39,0)</f>
        <v/>
      </c>
      <c r="E35" s="5">
        <f>IF(4&gt;=7,CEILING(E14/'前提'!$B$29,1)*'前提'!$B$39,0)</f>
        <v/>
      </c>
      <c r="F35" s="5">
        <f>IF(5&gt;=7,CEILING(F14/'前提'!$B$29,1)*'前提'!$B$39,0)</f>
        <v/>
      </c>
      <c r="G35" s="5">
        <f>IF(6&gt;=7,CEILING(G14/'前提'!$B$29,1)*'前提'!$B$39,0)</f>
        <v/>
      </c>
      <c r="H35" s="5">
        <f>IF(7&gt;=7,CEILING(H14/'前提'!$B$29,1)*'前提'!$B$39,0)</f>
        <v/>
      </c>
      <c r="I35" s="5">
        <f>IF(8&gt;=7,CEILING(I14/'前提'!$B$29,1)*'前提'!$B$39,0)</f>
        <v/>
      </c>
      <c r="J35" s="5">
        <f>IF(9&gt;=7,CEILING(J14/'前提'!$B$29,1)*'前提'!$B$39,0)</f>
        <v/>
      </c>
      <c r="K35" s="5">
        <f>IF(10&gt;=7,CEILING(K14/'前提'!$B$29,1)*'前提'!$B$39,0)</f>
        <v/>
      </c>
      <c r="L35" s="5">
        <f>IF(11&gt;=7,CEILING(L14/'前提'!$B$29,1)*'前提'!$B$39,0)</f>
        <v/>
      </c>
      <c r="M35" s="5">
        <f>IF(12&gt;=7,CEILING(M14/'前提'!$B$29,1)*'前提'!$B$39,0)</f>
        <v/>
      </c>
      <c r="N35" s="5">
        <f>IF(13&gt;=7,CEILING(N14/'前提'!$B$29,1)*'前提'!$B$39,0)</f>
        <v/>
      </c>
      <c r="O35" s="5">
        <f>IF(14&gt;=7,CEILING(O14/'前提'!$B$29,1)*'前提'!$B$39,0)</f>
        <v/>
      </c>
      <c r="P35" s="5">
        <f>IF(15&gt;=7,CEILING(P14/'前提'!$B$29,1)*'前提'!$B$39,0)</f>
        <v/>
      </c>
      <c r="Q35" s="5">
        <f>IF(16&gt;=7,CEILING(Q14/'前提'!$B$29,1)*'前提'!$B$39,0)</f>
        <v/>
      </c>
      <c r="R35" s="5">
        <f>IF(17&gt;=7,CEILING(R14/'前提'!$B$29,1)*'前提'!$B$39,0)</f>
        <v/>
      </c>
      <c r="S35" s="5">
        <f>IF(18&gt;=7,CEILING(S14/'前提'!$B$29,1)*'前提'!$B$39,0)</f>
        <v/>
      </c>
      <c r="T35" s="5">
        <f>IF(19&gt;=7,CEILING(T14/'前提'!$B$29,1)*'前提'!$B$39,0)</f>
        <v/>
      </c>
      <c r="U35" s="5">
        <f>IF(20&gt;=7,CEILING(U14/'前提'!$B$29,1)*'前提'!$B$39,0)</f>
        <v/>
      </c>
      <c r="V35" s="5">
        <f>IF(21&gt;=7,CEILING(V14/'前提'!$B$29,1)*'前提'!$B$39,0)</f>
        <v/>
      </c>
      <c r="W35" s="5">
        <f>IF(22&gt;=7,CEILING(W14/'前提'!$B$29,1)*'前提'!$B$39,0)</f>
        <v/>
      </c>
      <c r="X35" s="5">
        <f>IF(23&gt;=7,CEILING(X14/'前提'!$B$29,1)*'前提'!$B$39,0)</f>
        <v/>
      </c>
      <c r="Y35" s="5">
        <f>IF(24&gt;=7,CEILING(Y14/'前提'!$B$29,1)*'前提'!$B$39,0)</f>
        <v/>
      </c>
      <c r="Z35" s="5">
        <f>IF(25&gt;=7,CEILING(Z14/'前提'!$B$29,1)*'前提'!$B$39,0)</f>
        <v/>
      </c>
      <c r="AA35" s="5">
        <f>IF(26&gt;=7,CEILING(AA14/'前提'!$B$29,1)*'前提'!$B$39,0)</f>
        <v/>
      </c>
      <c r="AB35" s="5">
        <f>IF(27&gt;=7,CEILING(AB14/'前提'!$B$29,1)*'前提'!$B$39,0)</f>
        <v/>
      </c>
      <c r="AC35" s="5">
        <f>IF(28&gt;=7,CEILING(AC14/'前提'!$B$29,1)*'前提'!$B$39,0)</f>
        <v/>
      </c>
      <c r="AD35" s="5">
        <f>IF(29&gt;=7,CEILING(AD14/'前提'!$B$29,1)*'前提'!$B$39,0)</f>
        <v/>
      </c>
      <c r="AE35" s="5">
        <f>IF(30&gt;=7,CEILING(AE14/'前提'!$B$29,1)*'前提'!$B$39,0)</f>
        <v/>
      </c>
      <c r="AF35" s="5">
        <f>IF(31&gt;=7,CEILING(AF14/'前提'!$B$29,1)*'前提'!$B$39,0)</f>
        <v/>
      </c>
      <c r="AG35" s="5">
        <f>IF(32&gt;=7,CEILING(AG14/'前提'!$B$29,1)*'前提'!$B$39,0)</f>
        <v/>
      </c>
      <c r="AH35" s="5">
        <f>IF(33&gt;=7,CEILING(AH14/'前提'!$B$29,1)*'前提'!$B$39,0)</f>
        <v/>
      </c>
      <c r="AI35" s="5">
        <f>IF(34&gt;=7,CEILING(AI14/'前提'!$B$29,1)*'前提'!$B$39,0)</f>
        <v/>
      </c>
      <c r="AJ35" s="5">
        <f>IF(35&gt;=7,CEILING(AJ14/'前提'!$B$29,1)*'前提'!$B$39,0)</f>
        <v/>
      </c>
      <c r="AK35" s="5">
        <f>IF(36&gt;=7,CEILING(AK14/'前提'!$B$29,1)*'前提'!$B$39,0)</f>
        <v/>
      </c>
      <c r="AL35" s="5">
        <f>IF(37&gt;=7,CEILING(AL14/'前提'!$B$29,1)*'前提'!$B$39,0)</f>
        <v/>
      </c>
      <c r="AM35" s="5">
        <f>IF(38&gt;=7,CEILING(AM14/'前提'!$B$29,1)*'前提'!$B$39,0)</f>
        <v/>
      </c>
      <c r="AN35" s="5">
        <f>IF(39&gt;=7,CEILING(AN14/'前提'!$B$29,1)*'前提'!$B$39,0)</f>
        <v/>
      </c>
      <c r="AO35" s="5">
        <f>IF(40&gt;=7,CEILING(AO14/'前提'!$B$29,1)*'前提'!$B$39,0)</f>
        <v/>
      </c>
      <c r="AP35" s="5">
        <f>IF(41&gt;=7,CEILING(AP14/'前提'!$B$29,1)*'前提'!$B$39,0)</f>
        <v/>
      </c>
      <c r="AQ35" s="5">
        <f>IF(42&gt;=7,CEILING(AQ14/'前提'!$B$29,1)*'前提'!$B$39,0)</f>
        <v/>
      </c>
      <c r="AR35" s="5">
        <f>IF(43&gt;=7,CEILING(AR14/'前提'!$B$29,1)*'前提'!$B$39,0)</f>
        <v/>
      </c>
      <c r="AS35" s="5">
        <f>IF(44&gt;=7,CEILING(AS14/'前提'!$B$29,1)*'前提'!$B$39,0)</f>
        <v/>
      </c>
      <c r="AT35" s="5">
        <f>IF(45&gt;=7,CEILING(AT14/'前提'!$B$29,1)*'前提'!$B$39,0)</f>
        <v/>
      </c>
      <c r="AU35" s="5">
        <f>IF(46&gt;=7,CEILING(AU14/'前提'!$B$29,1)*'前提'!$B$39,0)</f>
        <v/>
      </c>
      <c r="AV35" s="5">
        <f>IF(47&gt;=7,CEILING(AV14/'前提'!$B$29,1)*'前提'!$B$39,0)</f>
        <v/>
      </c>
      <c r="AW35" s="5">
        <f>IF(48&gt;=7,CEILING(AW14/'前提'!$B$29,1)*'前提'!$B$39,0)</f>
        <v/>
      </c>
      <c r="AX35" s="5">
        <f>IF(49&gt;=7,CEILING(AX14/'前提'!$B$29,1)*'前提'!$B$39,0)</f>
        <v/>
      </c>
      <c r="AY35" s="5">
        <f>IF(50&gt;=7,CEILING(AY14/'前提'!$B$29,1)*'前提'!$B$39,0)</f>
        <v/>
      </c>
      <c r="AZ35" s="5">
        <f>IF(51&gt;=7,CEILING(AZ14/'前提'!$B$29,1)*'前提'!$B$39,0)</f>
        <v/>
      </c>
      <c r="BA35" s="5">
        <f>IF(52&gt;=7,CEILING(BA14/'前提'!$B$29,1)*'前提'!$B$39,0)</f>
        <v/>
      </c>
      <c r="BB35" s="5">
        <f>IF(53&gt;=7,CEILING(BB14/'前提'!$B$29,1)*'前提'!$B$39,0)</f>
        <v/>
      </c>
      <c r="BC35" s="5">
        <f>IF(54&gt;=7,CEILING(BC14/'前提'!$B$29,1)*'前提'!$B$39,0)</f>
        <v/>
      </c>
      <c r="BD35" s="5">
        <f>IF(55&gt;=7,CEILING(BD14/'前提'!$B$29,1)*'前提'!$B$39,0)</f>
        <v/>
      </c>
      <c r="BE35" s="5">
        <f>IF(56&gt;=7,CEILING(BE14/'前提'!$B$29,1)*'前提'!$B$39,0)</f>
        <v/>
      </c>
      <c r="BF35" s="5">
        <f>IF(57&gt;=7,CEILING(BF14/'前提'!$B$29,1)*'前提'!$B$39,0)</f>
        <v/>
      </c>
      <c r="BG35" s="5">
        <f>IF(58&gt;=7,CEILING(BG14/'前提'!$B$29,1)*'前提'!$B$39,0)</f>
        <v/>
      </c>
      <c r="BH35" s="5">
        <f>IF(59&gt;=7,CEILING(BH14/'前提'!$B$29,1)*'前提'!$B$39,0)</f>
        <v/>
      </c>
      <c r="BI35" s="5">
        <f>IF(60&gt;=7,CEILING(BI14/'前提'!$B$29,1)*'前提'!$B$39,0)</f>
        <v/>
      </c>
    </row>
    <row r="36">
      <c r="A36" t="inlineStr">
        <is>
          <t>BPOオペ</t>
        </is>
      </c>
      <c r="B36" s="5">
        <f>IF(1&gt;=7,CEILING(B14/'前提'!$B$30,1)*'前提'!$B$40,0)</f>
        <v/>
      </c>
      <c r="C36" s="5">
        <f>IF(2&gt;=7,CEILING(C14/'前提'!$B$30,1)*'前提'!$B$40,0)</f>
        <v/>
      </c>
      <c r="D36" s="5">
        <f>IF(3&gt;=7,CEILING(D14/'前提'!$B$30,1)*'前提'!$B$40,0)</f>
        <v/>
      </c>
      <c r="E36" s="5">
        <f>IF(4&gt;=7,CEILING(E14/'前提'!$B$30,1)*'前提'!$B$40,0)</f>
        <v/>
      </c>
      <c r="F36" s="5">
        <f>IF(5&gt;=7,CEILING(F14/'前提'!$B$30,1)*'前提'!$B$40,0)</f>
        <v/>
      </c>
      <c r="G36" s="5">
        <f>IF(6&gt;=7,CEILING(G14/'前提'!$B$30,1)*'前提'!$B$40,0)</f>
        <v/>
      </c>
      <c r="H36" s="5">
        <f>IF(7&gt;=7,CEILING(H14/'前提'!$B$30,1)*'前提'!$B$40,0)</f>
        <v/>
      </c>
      <c r="I36" s="5">
        <f>IF(8&gt;=7,CEILING(I14/'前提'!$B$30,1)*'前提'!$B$40,0)</f>
        <v/>
      </c>
      <c r="J36" s="5">
        <f>IF(9&gt;=7,CEILING(J14/'前提'!$B$30,1)*'前提'!$B$40,0)</f>
        <v/>
      </c>
      <c r="K36" s="5">
        <f>IF(10&gt;=7,CEILING(K14/'前提'!$B$30,1)*'前提'!$B$40,0)</f>
        <v/>
      </c>
      <c r="L36" s="5">
        <f>IF(11&gt;=7,CEILING(L14/'前提'!$B$30,1)*'前提'!$B$40,0)</f>
        <v/>
      </c>
      <c r="M36" s="5">
        <f>IF(12&gt;=7,CEILING(M14/'前提'!$B$30,1)*'前提'!$B$40,0)</f>
        <v/>
      </c>
      <c r="N36" s="5">
        <f>IF(13&gt;=7,CEILING(N14/'前提'!$B$30,1)*'前提'!$B$40,0)</f>
        <v/>
      </c>
      <c r="O36" s="5">
        <f>IF(14&gt;=7,CEILING(O14/'前提'!$B$30,1)*'前提'!$B$40,0)</f>
        <v/>
      </c>
      <c r="P36" s="5">
        <f>IF(15&gt;=7,CEILING(P14/'前提'!$B$30,1)*'前提'!$B$40,0)</f>
        <v/>
      </c>
      <c r="Q36" s="5">
        <f>IF(16&gt;=7,CEILING(Q14/'前提'!$B$30,1)*'前提'!$B$40,0)</f>
        <v/>
      </c>
      <c r="R36" s="5">
        <f>IF(17&gt;=7,CEILING(R14/'前提'!$B$30,1)*'前提'!$B$40,0)</f>
        <v/>
      </c>
      <c r="S36" s="5">
        <f>IF(18&gt;=7,CEILING(S14/'前提'!$B$30,1)*'前提'!$B$40,0)</f>
        <v/>
      </c>
      <c r="T36" s="5">
        <f>IF(19&gt;=7,CEILING(T14/'前提'!$B$30,1)*'前提'!$B$40,0)</f>
        <v/>
      </c>
      <c r="U36" s="5">
        <f>IF(20&gt;=7,CEILING(U14/'前提'!$B$30,1)*'前提'!$B$40,0)</f>
        <v/>
      </c>
      <c r="V36" s="5">
        <f>IF(21&gt;=7,CEILING(V14/'前提'!$B$30,1)*'前提'!$B$40,0)</f>
        <v/>
      </c>
      <c r="W36" s="5">
        <f>IF(22&gt;=7,CEILING(W14/'前提'!$B$30,1)*'前提'!$B$40,0)</f>
        <v/>
      </c>
      <c r="X36" s="5">
        <f>IF(23&gt;=7,CEILING(X14/'前提'!$B$30,1)*'前提'!$B$40,0)</f>
        <v/>
      </c>
      <c r="Y36" s="5">
        <f>IF(24&gt;=7,CEILING(Y14/'前提'!$B$30,1)*'前提'!$B$40,0)</f>
        <v/>
      </c>
      <c r="Z36" s="5">
        <f>IF(25&gt;=7,CEILING(Z14/'前提'!$B$30,1)*'前提'!$B$40,0)</f>
        <v/>
      </c>
      <c r="AA36" s="5">
        <f>IF(26&gt;=7,CEILING(AA14/'前提'!$B$30,1)*'前提'!$B$40,0)</f>
        <v/>
      </c>
      <c r="AB36" s="5">
        <f>IF(27&gt;=7,CEILING(AB14/'前提'!$B$30,1)*'前提'!$B$40,0)</f>
        <v/>
      </c>
      <c r="AC36" s="5">
        <f>IF(28&gt;=7,CEILING(AC14/'前提'!$B$30,1)*'前提'!$B$40,0)</f>
        <v/>
      </c>
      <c r="AD36" s="5">
        <f>IF(29&gt;=7,CEILING(AD14/'前提'!$B$30,1)*'前提'!$B$40,0)</f>
        <v/>
      </c>
      <c r="AE36" s="5">
        <f>IF(30&gt;=7,CEILING(AE14/'前提'!$B$30,1)*'前提'!$B$40,0)</f>
        <v/>
      </c>
      <c r="AF36" s="5">
        <f>IF(31&gt;=7,CEILING(AF14/'前提'!$B$30,1)*'前提'!$B$40,0)</f>
        <v/>
      </c>
      <c r="AG36" s="5">
        <f>IF(32&gt;=7,CEILING(AG14/'前提'!$B$30,1)*'前提'!$B$40,0)</f>
        <v/>
      </c>
      <c r="AH36" s="5">
        <f>IF(33&gt;=7,CEILING(AH14/'前提'!$B$30,1)*'前提'!$B$40,0)</f>
        <v/>
      </c>
      <c r="AI36" s="5">
        <f>IF(34&gt;=7,CEILING(AI14/'前提'!$B$30,1)*'前提'!$B$40,0)</f>
        <v/>
      </c>
      <c r="AJ36" s="5">
        <f>IF(35&gt;=7,CEILING(AJ14/'前提'!$B$30,1)*'前提'!$B$40,0)</f>
        <v/>
      </c>
      <c r="AK36" s="5">
        <f>IF(36&gt;=7,CEILING(AK14/'前提'!$B$30,1)*'前提'!$B$40,0)</f>
        <v/>
      </c>
      <c r="AL36" s="5">
        <f>IF(37&gt;=7,CEILING(AL14/'前提'!$B$30,1)*'前提'!$B$40,0)</f>
        <v/>
      </c>
      <c r="AM36" s="5">
        <f>IF(38&gt;=7,CEILING(AM14/'前提'!$B$30,1)*'前提'!$B$40,0)</f>
        <v/>
      </c>
      <c r="AN36" s="5">
        <f>IF(39&gt;=7,CEILING(AN14/'前提'!$B$30,1)*'前提'!$B$40,0)</f>
        <v/>
      </c>
      <c r="AO36" s="5">
        <f>IF(40&gt;=7,CEILING(AO14/'前提'!$B$30,1)*'前提'!$B$40,0)</f>
        <v/>
      </c>
      <c r="AP36" s="5">
        <f>IF(41&gt;=7,CEILING(AP14/'前提'!$B$30,1)*'前提'!$B$40,0)</f>
        <v/>
      </c>
      <c r="AQ36" s="5">
        <f>IF(42&gt;=7,CEILING(AQ14/'前提'!$B$30,1)*'前提'!$B$40,0)</f>
        <v/>
      </c>
      <c r="AR36" s="5">
        <f>IF(43&gt;=7,CEILING(AR14/'前提'!$B$30,1)*'前提'!$B$40,0)</f>
        <v/>
      </c>
      <c r="AS36" s="5">
        <f>IF(44&gt;=7,CEILING(AS14/'前提'!$B$30,1)*'前提'!$B$40,0)</f>
        <v/>
      </c>
      <c r="AT36" s="5">
        <f>IF(45&gt;=7,CEILING(AT14/'前提'!$B$30,1)*'前提'!$B$40,0)</f>
        <v/>
      </c>
      <c r="AU36" s="5">
        <f>IF(46&gt;=7,CEILING(AU14/'前提'!$B$30,1)*'前提'!$B$40,0)</f>
        <v/>
      </c>
      <c r="AV36" s="5">
        <f>IF(47&gt;=7,CEILING(AV14/'前提'!$B$30,1)*'前提'!$B$40,0)</f>
        <v/>
      </c>
      <c r="AW36" s="5">
        <f>IF(48&gt;=7,CEILING(AW14/'前提'!$B$30,1)*'前提'!$B$40,0)</f>
        <v/>
      </c>
      <c r="AX36" s="5">
        <f>IF(49&gt;=7,CEILING(AX14/'前提'!$B$30,1)*'前提'!$B$40,0)</f>
        <v/>
      </c>
      <c r="AY36" s="5">
        <f>IF(50&gt;=7,CEILING(AY14/'前提'!$B$30,1)*'前提'!$B$40,0)</f>
        <v/>
      </c>
      <c r="AZ36" s="5">
        <f>IF(51&gt;=7,CEILING(AZ14/'前提'!$B$30,1)*'前提'!$B$40,0)</f>
        <v/>
      </c>
      <c r="BA36" s="5">
        <f>IF(52&gt;=7,CEILING(BA14/'前提'!$B$30,1)*'前提'!$B$40,0)</f>
        <v/>
      </c>
      <c r="BB36" s="5">
        <f>IF(53&gt;=7,CEILING(BB14/'前提'!$B$30,1)*'前提'!$B$40,0)</f>
        <v/>
      </c>
      <c r="BC36" s="5">
        <f>IF(54&gt;=7,CEILING(BC14/'前提'!$B$30,1)*'前提'!$B$40,0)</f>
        <v/>
      </c>
      <c r="BD36" s="5">
        <f>IF(55&gt;=7,CEILING(BD14/'前提'!$B$30,1)*'前提'!$B$40,0)</f>
        <v/>
      </c>
      <c r="BE36" s="5">
        <f>IF(56&gt;=7,CEILING(BE14/'前提'!$B$30,1)*'前提'!$B$40,0)</f>
        <v/>
      </c>
      <c r="BF36" s="5">
        <f>IF(57&gt;=7,CEILING(BF14/'前提'!$B$30,1)*'前提'!$B$40,0)</f>
        <v/>
      </c>
      <c r="BG36" s="5">
        <f>IF(58&gt;=7,CEILING(BG14/'前提'!$B$30,1)*'前提'!$B$40,0)</f>
        <v/>
      </c>
      <c r="BH36" s="5">
        <f>IF(59&gt;=7,CEILING(BH14/'前提'!$B$30,1)*'前提'!$B$40,0)</f>
        <v/>
      </c>
      <c r="BI36" s="5">
        <f>IF(60&gt;=7,CEILING(BI14/'前提'!$B$30,1)*'前提'!$B$40,0)</f>
        <v/>
      </c>
    </row>
    <row r="37">
      <c r="A37" t="inlineStr">
        <is>
          <t>CS</t>
        </is>
      </c>
      <c r="B37" s="5">
        <f>IF(1&gt;=7,CEILING(B10/'前提'!$B$31,1)*'前提'!$B$42,0)</f>
        <v/>
      </c>
      <c r="C37" s="5">
        <f>IF(2&gt;=7,CEILING(C10/'前提'!$B$31,1)*'前提'!$B$42,0)</f>
        <v/>
      </c>
      <c r="D37" s="5">
        <f>IF(3&gt;=7,CEILING(D10/'前提'!$B$31,1)*'前提'!$B$42,0)</f>
        <v/>
      </c>
      <c r="E37" s="5">
        <f>IF(4&gt;=7,CEILING(E10/'前提'!$B$31,1)*'前提'!$B$42,0)</f>
        <v/>
      </c>
      <c r="F37" s="5">
        <f>IF(5&gt;=7,CEILING(F10/'前提'!$B$31,1)*'前提'!$B$42,0)</f>
        <v/>
      </c>
      <c r="G37" s="5">
        <f>IF(6&gt;=7,CEILING(G10/'前提'!$B$31,1)*'前提'!$B$42,0)</f>
        <v/>
      </c>
      <c r="H37" s="5">
        <f>IF(7&gt;=7,CEILING(H10/'前提'!$B$31,1)*'前提'!$B$42,0)</f>
        <v/>
      </c>
      <c r="I37" s="5">
        <f>IF(8&gt;=7,CEILING(I10/'前提'!$B$31,1)*'前提'!$B$42,0)</f>
        <v/>
      </c>
      <c r="J37" s="5">
        <f>IF(9&gt;=7,CEILING(J10/'前提'!$B$31,1)*'前提'!$B$42,0)</f>
        <v/>
      </c>
      <c r="K37" s="5">
        <f>IF(10&gt;=7,CEILING(K10/'前提'!$B$31,1)*'前提'!$B$42,0)</f>
        <v/>
      </c>
      <c r="L37" s="5">
        <f>IF(11&gt;=7,CEILING(L10/'前提'!$B$31,1)*'前提'!$B$42,0)</f>
        <v/>
      </c>
      <c r="M37" s="5">
        <f>IF(12&gt;=7,CEILING(M10/'前提'!$B$31,1)*'前提'!$B$42,0)</f>
        <v/>
      </c>
      <c r="N37" s="5">
        <f>IF(13&gt;=7,CEILING(N10/'前提'!$B$31,1)*'前提'!$B$42,0)</f>
        <v/>
      </c>
      <c r="O37" s="5">
        <f>IF(14&gt;=7,CEILING(O10/'前提'!$B$31,1)*'前提'!$B$42,0)</f>
        <v/>
      </c>
      <c r="P37" s="5">
        <f>IF(15&gt;=7,CEILING(P10/'前提'!$B$31,1)*'前提'!$B$42,0)</f>
        <v/>
      </c>
      <c r="Q37" s="5">
        <f>IF(16&gt;=7,CEILING(Q10/'前提'!$B$31,1)*'前提'!$B$42,0)</f>
        <v/>
      </c>
      <c r="R37" s="5">
        <f>IF(17&gt;=7,CEILING(R10/'前提'!$B$31,1)*'前提'!$B$42,0)</f>
        <v/>
      </c>
      <c r="S37" s="5">
        <f>IF(18&gt;=7,CEILING(S10/'前提'!$B$31,1)*'前提'!$B$42,0)</f>
        <v/>
      </c>
      <c r="T37" s="5">
        <f>IF(19&gt;=7,CEILING(T10/'前提'!$B$31,1)*'前提'!$B$42,0)</f>
        <v/>
      </c>
      <c r="U37" s="5">
        <f>IF(20&gt;=7,CEILING(U10/'前提'!$B$31,1)*'前提'!$B$42,0)</f>
        <v/>
      </c>
      <c r="V37" s="5">
        <f>IF(21&gt;=7,CEILING(V10/'前提'!$B$31,1)*'前提'!$B$42,0)</f>
        <v/>
      </c>
      <c r="W37" s="5">
        <f>IF(22&gt;=7,CEILING(W10/'前提'!$B$31,1)*'前提'!$B$42,0)</f>
        <v/>
      </c>
      <c r="X37" s="5">
        <f>IF(23&gt;=7,CEILING(X10/'前提'!$B$31,1)*'前提'!$B$42,0)</f>
        <v/>
      </c>
      <c r="Y37" s="5">
        <f>IF(24&gt;=7,CEILING(Y10/'前提'!$B$31,1)*'前提'!$B$42,0)</f>
        <v/>
      </c>
      <c r="Z37" s="5">
        <f>IF(25&gt;=7,CEILING(Z10/'前提'!$B$31,1)*'前提'!$B$42,0)</f>
        <v/>
      </c>
      <c r="AA37" s="5">
        <f>IF(26&gt;=7,CEILING(AA10/'前提'!$B$31,1)*'前提'!$B$42,0)</f>
        <v/>
      </c>
      <c r="AB37" s="5">
        <f>IF(27&gt;=7,CEILING(AB10/'前提'!$B$31,1)*'前提'!$B$42,0)</f>
        <v/>
      </c>
      <c r="AC37" s="5">
        <f>IF(28&gt;=7,CEILING(AC10/'前提'!$B$31,1)*'前提'!$B$42,0)</f>
        <v/>
      </c>
      <c r="AD37" s="5">
        <f>IF(29&gt;=7,CEILING(AD10/'前提'!$B$31,1)*'前提'!$B$42,0)</f>
        <v/>
      </c>
      <c r="AE37" s="5">
        <f>IF(30&gt;=7,CEILING(AE10/'前提'!$B$31,1)*'前提'!$B$42,0)</f>
        <v/>
      </c>
      <c r="AF37" s="5">
        <f>IF(31&gt;=7,CEILING(AF10/'前提'!$B$31,1)*'前提'!$B$42,0)</f>
        <v/>
      </c>
      <c r="AG37" s="5">
        <f>IF(32&gt;=7,CEILING(AG10/'前提'!$B$31,1)*'前提'!$B$42,0)</f>
        <v/>
      </c>
      <c r="AH37" s="5">
        <f>IF(33&gt;=7,CEILING(AH10/'前提'!$B$31,1)*'前提'!$B$42,0)</f>
        <v/>
      </c>
      <c r="AI37" s="5">
        <f>IF(34&gt;=7,CEILING(AI10/'前提'!$B$31,1)*'前提'!$B$42,0)</f>
        <v/>
      </c>
      <c r="AJ37" s="5">
        <f>IF(35&gt;=7,CEILING(AJ10/'前提'!$B$31,1)*'前提'!$B$42,0)</f>
        <v/>
      </c>
      <c r="AK37" s="5">
        <f>IF(36&gt;=7,CEILING(AK10/'前提'!$B$31,1)*'前提'!$B$42,0)</f>
        <v/>
      </c>
      <c r="AL37" s="5">
        <f>IF(37&gt;=7,CEILING(AL10/'前提'!$B$31,1)*'前提'!$B$42,0)</f>
        <v/>
      </c>
      <c r="AM37" s="5">
        <f>IF(38&gt;=7,CEILING(AM10/'前提'!$B$31,1)*'前提'!$B$42,0)</f>
        <v/>
      </c>
      <c r="AN37" s="5">
        <f>IF(39&gt;=7,CEILING(AN10/'前提'!$B$31,1)*'前提'!$B$42,0)</f>
        <v/>
      </c>
      <c r="AO37" s="5">
        <f>IF(40&gt;=7,CEILING(AO10/'前提'!$B$31,1)*'前提'!$B$42,0)</f>
        <v/>
      </c>
      <c r="AP37" s="5">
        <f>IF(41&gt;=7,CEILING(AP10/'前提'!$B$31,1)*'前提'!$B$42,0)</f>
        <v/>
      </c>
      <c r="AQ37" s="5">
        <f>IF(42&gt;=7,CEILING(AQ10/'前提'!$B$31,1)*'前提'!$B$42,0)</f>
        <v/>
      </c>
      <c r="AR37" s="5">
        <f>IF(43&gt;=7,CEILING(AR10/'前提'!$B$31,1)*'前提'!$B$42,0)</f>
        <v/>
      </c>
      <c r="AS37" s="5">
        <f>IF(44&gt;=7,CEILING(AS10/'前提'!$B$31,1)*'前提'!$B$42,0)</f>
        <v/>
      </c>
      <c r="AT37" s="5">
        <f>IF(45&gt;=7,CEILING(AT10/'前提'!$B$31,1)*'前提'!$B$42,0)</f>
        <v/>
      </c>
      <c r="AU37" s="5">
        <f>IF(46&gt;=7,CEILING(AU10/'前提'!$B$31,1)*'前提'!$B$42,0)</f>
        <v/>
      </c>
      <c r="AV37" s="5">
        <f>IF(47&gt;=7,CEILING(AV10/'前提'!$B$31,1)*'前提'!$B$42,0)</f>
        <v/>
      </c>
      <c r="AW37" s="5">
        <f>IF(48&gt;=7,CEILING(AW10/'前提'!$B$31,1)*'前提'!$B$42,0)</f>
        <v/>
      </c>
      <c r="AX37" s="5">
        <f>IF(49&gt;=7,CEILING(AX10/'前提'!$B$31,1)*'前提'!$B$42,0)</f>
        <v/>
      </c>
      <c r="AY37" s="5">
        <f>IF(50&gt;=7,CEILING(AY10/'前提'!$B$31,1)*'前提'!$B$42,0)</f>
        <v/>
      </c>
      <c r="AZ37" s="5">
        <f>IF(51&gt;=7,CEILING(AZ10/'前提'!$B$31,1)*'前提'!$B$42,0)</f>
        <v/>
      </c>
      <c r="BA37" s="5">
        <f>IF(52&gt;=7,CEILING(BA10/'前提'!$B$31,1)*'前提'!$B$42,0)</f>
        <v/>
      </c>
      <c r="BB37" s="5">
        <f>IF(53&gt;=7,CEILING(BB10/'前提'!$B$31,1)*'前提'!$B$42,0)</f>
        <v/>
      </c>
      <c r="BC37" s="5">
        <f>IF(54&gt;=7,CEILING(BC10/'前提'!$B$31,1)*'前提'!$B$42,0)</f>
        <v/>
      </c>
      <c r="BD37" s="5">
        <f>IF(55&gt;=7,CEILING(BD10/'前提'!$B$31,1)*'前提'!$B$42,0)</f>
        <v/>
      </c>
      <c r="BE37" s="5">
        <f>IF(56&gt;=7,CEILING(BE10/'前提'!$B$31,1)*'前提'!$B$42,0)</f>
        <v/>
      </c>
      <c r="BF37" s="5">
        <f>IF(57&gt;=7,CEILING(BF10/'前提'!$B$31,1)*'前提'!$B$42,0)</f>
        <v/>
      </c>
      <c r="BG37" s="5">
        <f>IF(58&gt;=7,CEILING(BG10/'前提'!$B$31,1)*'前提'!$B$42,0)</f>
        <v/>
      </c>
      <c r="BH37" s="5">
        <f>IF(59&gt;=7,CEILING(BH10/'前提'!$B$31,1)*'前提'!$B$42,0)</f>
        <v/>
      </c>
      <c r="BI37" s="5">
        <f>IF(60&gt;=7,CEILING(BI10/'前提'!$B$31,1)*'前提'!$B$42,0)</f>
        <v/>
      </c>
    </row>
    <row r="38">
      <c r="A38" t="inlineStr">
        <is>
          <t>社会保険料（CEO+正社員）</t>
        </is>
      </c>
      <c r="B38" s="5">
        <f>(B32+IF(1&lt;=12,0,'前提'!$B$38*(IF(1&lt;=6,'前提'!$B$85,IF(1&lt;=12,'前提'!$B$86,IF(1&lt;=18,'前提'!$B$87,IF(1&lt;=24,'前提'!$B$88,IF(1&lt;=36,'前提'!$B$89,IF(1&lt;=48,'前提'!$B$90,'前提'!$B$91)))))))))*'前提'!$B$43</f>
        <v/>
      </c>
      <c r="C38" s="5">
        <f>(C32+IF(2&lt;=12,0,'前提'!$B$38*(IF(2&lt;=6,'前提'!$B$85,IF(2&lt;=12,'前提'!$B$86,IF(2&lt;=18,'前提'!$B$87,IF(2&lt;=24,'前提'!$B$88,IF(2&lt;=36,'前提'!$B$89,IF(2&lt;=48,'前提'!$B$90,'前提'!$B$91)))))))))*'前提'!$B$43</f>
        <v/>
      </c>
      <c r="D38" s="5">
        <f>(D32+IF(3&lt;=12,0,'前提'!$B$38*(IF(3&lt;=6,'前提'!$B$85,IF(3&lt;=12,'前提'!$B$86,IF(3&lt;=18,'前提'!$B$87,IF(3&lt;=24,'前提'!$B$88,IF(3&lt;=36,'前提'!$B$89,IF(3&lt;=48,'前提'!$B$90,'前提'!$B$91)))))))))*'前提'!$B$43</f>
        <v/>
      </c>
      <c r="E38" s="5">
        <f>(E32+IF(4&lt;=12,0,'前提'!$B$38*(IF(4&lt;=6,'前提'!$B$85,IF(4&lt;=12,'前提'!$B$86,IF(4&lt;=18,'前提'!$B$87,IF(4&lt;=24,'前提'!$B$88,IF(4&lt;=36,'前提'!$B$89,IF(4&lt;=48,'前提'!$B$90,'前提'!$B$91)))))))))*'前提'!$B$43</f>
        <v/>
      </c>
      <c r="F38" s="5">
        <f>(F32+IF(5&lt;=12,0,'前提'!$B$38*(IF(5&lt;=6,'前提'!$B$85,IF(5&lt;=12,'前提'!$B$86,IF(5&lt;=18,'前提'!$B$87,IF(5&lt;=24,'前提'!$B$88,IF(5&lt;=36,'前提'!$B$89,IF(5&lt;=48,'前提'!$B$90,'前提'!$B$91)))))))))*'前提'!$B$43</f>
        <v/>
      </c>
      <c r="G38" s="5">
        <f>(G32+IF(6&lt;=12,0,'前提'!$B$38*(IF(6&lt;=6,'前提'!$B$85,IF(6&lt;=12,'前提'!$B$86,IF(6&lt;=18,'前提'!$B$87,IF(6&lt;=24,'前提'!$B$88,IF(6&lt;=36,'前提'!$B$89,IF(6&lt;=48,'前提'!$B$90,'前提'!$B$91)))))))))*'前提'!$B$43</f>
        <v/>
      </c>
      <c r="H38" s="5">
        <f>(H32+IF(7&lt;=12,0,'前提'!$B$38*(IF(7&lt;=6,'前提'!$B$85,IF(7&lt;=12,'前提'!$B$86,IF(7&lt;=18,'前提'!$B$87,IF(7&lt;=24,'前提'!$B$88,IF(7&lt;=36,'前提'!$B$89,IF(7&lt;=48,'前提'!$B$90,'前提'!$B$91)))))))))*'前提'!$B$43</f>
        <v/>
      </c>
      <c r="I38" s="5">
        <f>(I32+IF(8&lt;=12,0,'前提'!$B$38*(IF(8&lt;=6,'前提'!$B$85,IF(8&lt;=12,'前提'!$B$86,IF(8&lt;=18,'前提'!$B$87,IF(8&lt;=24,'前提'!$B$88,IF(8&lt;=36,'前提'!$B$89,IF(8&lt;=48,'前提'!$B$90,'前提'!$B$91)))))))))*'前提'!$B$43</f>
        <v/>
      </c>
      <c r="J38" s="5">
        <f>(J32+IF(9&lt;=12,0,'前提'!$B$38*(IF(9&lt;=6,'前提'!$B$85,IF(9&lt;=12,'前提'!$B$86,IF(9&lt;=18,'前提'!$B$87,IF(9&lt;=24,'前提'!$B$88,IF(9&lt;=36,'前提'!$B$89,IF(9&lt;=48,'前提'!$B$90,'前提'!$B$91)))))))))*'前提'!$B$43</f>
        <v/>
      </c>
      <c r="K38" s="5">
        <f>(K32+IF(10&lt;=12,0,'前提'!$B$38*(IF(10&lt;=6,'前提'!$B$85,IF(10&lt;=12,'前提'!$B$86,IF(10&lt;=18,'前提'!$B$87,IF(10&lt;=24,'前提'!$B$88,IF(10&lt;=36,'前提'!$B$89,IF(10&lt;=48,'前提'!$B$90,'前提'!$B$91)))))))))*'前提'!$B$43</f>
        <v/>
      </c>
      <c r="L38" s="5">
        <f>(L32+IF(11&lt;=12,0,'前提'!$B$38*(IF(11&lt;=6,'前提'!$B$85,IF(11&lt;=12,'前提'!$B$86,IF(11&lt;=18,'前提'!$B$87,IF(11&lt;=24,'前提'!$B$88,IF(11&lt;=36,'前提'!$B$89,IF(11&lt;=48,'前提'!$B$90,'前提'!$B$91)))))))))*'前提'!$B$43</f>
        <v/>
      </c>
      <c r="M38" s="5">
        <f>(M32+IF(12&lt;=12,0,'前提'!$B$38*(IF(12&lt;=6,'前提'!$B$85,IF(12&lt;=12,'前提'!$B$86,IF(12&lt;=18,'前提'!$B$87,IF(12&lt;=24,'前提'!$B$88,IF(12&lt;=36,'前提'!$B$89,IF(12&lt;=48,'前提'!$B$90,'前提'!$B$91)))))))))*'前提'!$B$43</f>
        <v/>
      </c>
      <c r="N38" s="5">
        <f>(N32+IF(13&lt;=12,0,'前提'!$B$38*(IF(13&lt;=6,'前提'!$B$85,IF(13&lt;=12,'前提'!$B$86,IF(13&lt;=18,'前提'!$B$87,IF(13&lt;=24,'前提'!$B$88,IF(13&lt;=36,'前提'!$B$89,IF(13&lt;=48,'前提'!$B$90,'前提'!$B$91)))))))))*'前提'!$B$43</f>
        <v/>
      </c>
      <c r="O38" s="5">
        <f>(O32+IF(14&lt;=12,0,'前提'!$B$38*(IF(14&lt;=6,'前提'!$B$85,IF(14&lt;=12,'前提'!$B$86,IF(14&lt;=18,'前提'!$B$87,IF(14&lt;=24,'前提'!$B$88,IF(14&lt;=36,'前提'!$B$89,IF(14&lt;=48,'前提'!$B$90,'前提'!$B$91)))))))))*'前提'!$B$43</f>
        <v/>
      </c>
      <c r="P38" s="5">
        <f>(P32+IF(15&lt;=12,0,'前提'!$B$38*(IF(15&lt;=6,'前提'!$B$85,IF(15&lt;=12,'前提'!$B$86,IF(15&lt;=18,'前提'!$B$87,IF(15&lt;=24,'前提'!$B$88,IF(15&lt;=36,'前提'!$B$89,IF(15&lt;=48,'前提'!$B$90,'前提'!$B$91)))))))))*'前提'!$B$43</f>
        <v/>
      </c>
      <c r="Q38" s="5">
        <f>(Q32+IF(16&lt;=12,0,'前提'!$B$38*(IF(16&lt;=6,'前提'!$B$85,IF(16&lt;=12,'前提'!$B$86,IF(16&lt;=18,'前提'!$B$87,IF(16&lt;=24,'前提'!$B$88,IF(16&lt;=36,'前提'!$B$89,IF(16&lt;=48,'前提'!$B$90,'前提'!$B$91)))))))))*'前提'!$B$43</f>
        <v/>
      </c>
      <c r="R38" s="5">
        <f>(R32+IF(17&lt;=12,0,'前提'!$B$38*(IF(17&lt;=6,'前提'!$B$85,IF(17&lt;=12,'前提'!$B$86,IF(17&lt;=18,'前提'!$B$87,IF(17&lt;=24,'前提'!$B$88,IF(17&lt;=36,'前提'!$B$89,IF(17&lt;=48,'前提'!$B$90,'前提'!$B$91)))))))))*'前提'!$B$43</f>
        <v/>
      </c>
      <c r="S38" s="5">
        <f>(S32+IF(18&lt;=12,0,'前提'!$B$38*(IF(18&lt;=6,'前提'!$B$85,IF(18&lt;=12,'前提'!$B$86,IF(18&lt;=18,'前提'!$B$87,IF(18&lt;=24,'前提'!$B$88,IF(18&lt;=36,'前提'!$B$89,IF(18&lt;=48,'前提'!$B$90,'前提'!$B$91)))))))))*'前提'!$B$43</f>
        <v/>
      </c>
      <c r="T38" s="5">
        <f>(T32+IF(19&lt;=12,0,'前提'!$B$38*(IF(19&lt;=6,'前提'!$B$85,IF(19&lt;=12,'前提'!$B$86,IF(19&lt;=18,'前提'!$B$87,IF(19&lt;=24,'前提'!$B$88,IF(19&lt;=36,'前提'!$B$89,IF(19&lt;=48,'前提'!$B$90,'前提'!$B$91)))))))))*'前提'!$B$43</f>
        <v/>
      </c>
      <c r="U38" s="5">
        <f>(U32+IF(20&lt;=12,0,'前提'!$B$38*(IF(20&lt;=6,'前提'!$B$85,IF(20&lt;=12,'前提'!$B$86,IF(20&lt;=18,'前提'!$B$87,IF(20&lt;=24,'前提'!$B$88,IF(20&lt;=36,'前提'!$B$89,IF(20&lt;=48,'前提'!$B$90,'前提'!$B$91)))))))))*'前提'!$B$43</f>
        <v/>
      </c>
      <c r="V38" s="5">
        <f>(V32+IF(21&lt;=12,0,'前提'!$B$38*(IF(21&lt;=6,'前提'!$B$85,IF(21&lt;=12,'前提'!$B$86,IF(21&lt;=18,'前提'!$B$87,IF(21&lt;=24,'前提'!$B$88,IF(21&lt;=36,'前提'!$B$89,IF(21&lt;=48,'前提'!$B$90,'前提'!$B$91)))))))))*'前提'!$B$43</f>
        <v/>
      </c>
      <c r="W38" s="5">
        <f>(W32+IF(22&lt;=12,0,'前提'!$B$38*(IF(22&lt;=6,'前提'!$B$85,IF(22&lt;=12,'前提'!$B$86,IF(22&lt;=18,'前提'!$B$87,IF(22&lt;=24,'前提'!$B$88,IF(22&lt;=36,'前提'!$B$89,IF(22&lt;=48,'前提'!$B$90,'前提'!$B$91)))))))))*'前提'!$B$43</f>
        <v/>
      </c>
      <c r="X38" s="5">
        <f>(X32+IF(23&lt;=12,0,'前提'!$B$38*(IF(23&lt;=6,'前提'!$B$85,IF(23&lt;=12,'前提'!$B$86,IF(23&lt;=18,'前提'!$B$87,IF(23&lt;=24,'前提'!$B$88,IF(23&lt;=36,'前提'!$B$89,IF(23&lt;=48,'前提'!$B$90,'前提'!$B$91)))))))))*'前提'!$B$43</f>
        <v/>
      </c>
      <c r="Y38" s="5">
        <f>(Y32+IF(24&lt;=12,0,'前提'!$B$38*(IF(24&lt;=6,'前提'!$B$85,IF(24&lt;=12,'前提'!$B$86,IF(24&lt;=18,'前提'!$B$87,IF(24&lt;=24,'前提'!$B$88,IF(24&lt;=36,'前提'!$B$89,IF(24&lt;=48,'前提'!$B$90,'前提'!$B$91)))))))))*'前提'!$B$43</f>
        <v/>
      </c>
      <c r="Z38" s="5">
        <f>(Z32+IF(25&lt;=12,0,'前提'!$B$38*(IF(25&lt;=6,'前提'!$B$85,IF(25&lt;=12,'前提'!$B$86,IF(25&lt;=18,'前提'!$B$87,IF(25&lt;=24,'前提'!$B$88,IF(25&lt;=36,'前提'!$B$89,IF(25&lt;=48,'前提'!$B$90,'前提'!$B$91)))))))))*'前提'!$B$43</f>
        <v/>
      </c>
      <c r="AA38" s="5">
        <f>(AA32+IF(26&lt;=12,0,'前提'!$B$38*(IF(26&lt;=6,'前提'!$B$85,IF(26&lt;=12,'前提'!$B$86,IF(26&lt;=18,'前提'!$B$87,IF(26&lt;=24,'前提'!$B$88,IF(26&lt;=36,'前提'!$B$89,IF(26&lt;=48,'前提'!$B$90,'前提'!$B$91)))))))))*'前提'!$B$43</f>
        <v/>
      </c>
      <c r="AB38" s="5">
        <f>(AB32+IF(27&lt;=12,0,'前提'!$B$38*(IF(27&lt;=6,'前提'!$B$85,IF(27&lt;=12,'前提'!$B$86,IF(27&lt;=18,'前提'!$B$87,IF(27&lt;=24,'前提'!$B$88,IF(27&lt;=36,'前提'!$B$89,IF(27&lt;=48,'前提'!$B$90,'前提'!$B$91)))))))))*'前提'!$B$43</f>
        <v/>
      </c>
      <c r="AC38" s="5">
        <f>(AC32+IF(28&lt;=12,0,'前提'!$B$38*(IF(28&lt;=6,'前提'!$B$85,IF(28&lt;=12,'前提'!$B$86,IF(28&lt;=18,'前提'!$B$87,IF(28&lt;=24,'前提'!$B$88,IF(28&lt;=36,'前提'!$B$89,IF(28&lt;=48,'前提'!$B$90,'前提'!$B$91)))))))))*'前提'!$B$43</f>
        <v/>
      </c>
      <c r="AD38" s="5">
        <f>(AD32+IF(29&lt;=12,0,'前提'!$B$38*(IF(29&lt;=6,'前提'!$B$85,IF(29&lt;=12,'前提'!$B$86,IF(29&lt;=18,'前提'!$B$87,IF(29&lt;=24,'前提'!$B$88,IF(29&lt;=36,'前提'!$B$89,IF(29&lt;=48,'前提'!$B$90,'前提'!$B$91)))))))))*'前提'!$B$43</f>
        <v/>
      </c>
      <c r="AE38" s="5">
        <f>(AE32+IF(30&lt;=12,0,'前提'!$B$38*(IF(30&lt;=6,'前提'!$B$85,IF(30&lt;=12,'前提'!$B$86,IF(30&lt;=18,'前提'!$B$87,IF(30&lt;=24,'前提'!$B$88,IF(30&lt;=36,'前提'!$B$89,IF(30&lt;=48,'前提'!$B$90,'前提'!$B$91)))))))))*'前提'!$B$43</f>
        <v/>
      </c>
      <c r="AF38" s="5">
        <f>(AF32+IF(31&lt;=12,0,'前提'!$B$38*(IF(31&lt;=6,'前提'!$B$85,IF(31&lt;=12,'前提'!$B$86,IF(31&lt;=18,'前提'!$B$87,IF(31&lt;=24,'前提'!$B$88,IF(31&lt;=36,'前提'!$B$89,IF(31&lt;=48,'前提'!$B$90,'前提'!$B$91)))))))))*'前提'!$B$43</f>
        <v/>
      </c>
      <c r="AG38" s="5">
        <f>(AG32+IF(32&lt;=12,0,'前提'!$B$38*(IF(32&lt;=6,'前提'!$B$85,IF(32&lt;=12,'前提'!$B$86,IF(32&lt;=18,'前提'!$B$87,IF(32&lt;=24,'前提'!$B$88,IF(32&lt;=36,'前提'!$B$89,IF(32&lt;=48,'前提'!$B$90,'前提'!$B$91)))))))))*'前提'!$B$43</f>
        <v/>
      </c>
      <c r="AH38" s="5">
        <f>(AH32+IF(33&lt;=12,0,'前提'!$B$38*(IF(33&lt;=6,'前提'!$B$85,IF(33&lt;=12,'前提'!$B$86,IF(33&lt;=18,'前提'!$B$87,IF(33&lt;=24,'前提'!$B$88,IF(33&lt;=36,'前提'!$B$89,IF(33&lt;=48,'前提'!$B$90,'前提'!$B$91)))))))))*'前提'!$B$43</f>
        <v/>
      </c>
      <c r="AI38" s="5">
        <f>(AI32+IF(34&lt;=12,0,'前提'!$B$38*(IF(34&lt;=6,'前提'!$B$85,IF(34&lt;=12,'前提'!$B$86,IF(34&lt;=18,'前提'!$B$87,IF(34&lt;=24,'前提'!$B$88,IF(34&lt;=36,'前提'!$B$89,IF(34&lt;=48,'前提'!$B$90,'前提'!$B$91)))))))))*'前提'!$B$43</f>
        <v/>
      </c>
      <c r="AJ38" s="5">
        <f>(AJ32+IF(35&lt;=12,0,'前提'!$B$38*(IF(35&lt;=6,'前提'!$B$85,IF(35&lt;=12,'前提'!$B$86,IF(35&lt;=18,'前提'!$B$87,IF(35&lt;=24,'前提'!$B$88,IF(35&lt;=36,'前提'!$B$89,IF(35&lt;=48,'前提'!$B$90,'前提'!$B$91)))))))))*'前提'!$B$43</f>
        <v/>
      </c>
      <c r="AK38" s="5">
        <f>(AK32+IF(36&lt;=12,0,'前提'!$B$38*(IF(36&lt;=6,'前提'!$B$85,IF(36&lt;=12,'前提'!$B$86,IF(36&lt;=18,'前提'!$B$87,IF(36&lt;=24,'前提'!$B$88,IF(36&lt;=36,'前提'!$B$89,IF(36&lt;=48,'前提'!$B$90,'前提'!$B$91)))))))))*'前提'!$B$43</f>
        <v/>
      </c>
      <c r="AL38" s="5">
        <f>(AL32+IF(37&lt;=12,0,'前提'!$B$38*(IF(37&lt;=6,'前提'!$B$85,IF(37&lt;=12,'前提'!$B$86,IF(37&lt;=18,'前提'!$B$87,IF(37&lt;=24,'前提'!$B$88,IF(37&lt;=36,'前提'!$B$89,IF(37&lt;=48,'前提'!$B$90,'前提'!$B$91)))))))))*'前提'!$B$43</f>
        <v/>
      </c>
      <c r="AM38" s="5">
        <f>(AM32+IF(38&lt;=12,0,'前提'!$B$38*(IF(38&lt;=6,'前提'!$B$85,IF(38&lt;=12,'前提'!$B$86,IF(38&lt;=18,'前提'!$B$87,IF(38&lt;=24,'前提'!$B$88,IF(38&lt;=36,'前提'!$B$89,IF(38&lt;=48,'前提'!$B$90,'前提'!$B$91)))))))))*'前提'!$B$43</f>
        <v/>
      </c>
      <c r="AN38" s="5">
        <f>(AN32+IF(39&lt;=12,0,'前提'!$B$38*(IF(39&lt;=6,'前提'!$B$85,IF(39&lt;=12,'前提'!$B$86,IF(39&lt;=18,'前提'!$B$87,IF(39&lt;=24,'前提'!$B$88,IF(39&lt;=36,'前提'!$B$89,IF(39&lt;=48,'前提'!$B$90,'前提'!$B$91)))))))))*'前提'!$B$43</f>
        <v/>
      </c>
      <c r="AO38" s="5">
        <f>(AO32+IF(40&lt;=12,0,'前提'!$B$38*(IF(40&lt;=6,'前提'!$B$85,IF(40&lt;=12,'前提'!$B$86,IF(40&lt;=18,'前提'!$B$87,IF(40&lt;=24,'前提'!$B$88,IF(40&lt;=36,'前提'!$B$89,IF(40&lt;=48,'前提'!$B$90,'前提'!$B$91)))))))))*'前提'!$B$43</f>
        <v/>
      </c>
      <c r="AP38" s="5">
        <f>(AP32+IF(41&lt;=12,0,'前提'!$B$38*(IF(41&lt;=6,'前提'!$B$85,IF(41&lt;=12,'前提'!$B$86,IF(41&lt;=18,'前提'!$B$87,IF(41&lt;=24,'前提'!$B$88,IF(41&lt;=36,'前提'!$B$89,IF(41&lt;=48,'前提'!$B$90,'前提'!$B$91)))))))))*'前提'!$B$43</f>
        <v/>
      </c>
      <c r="AQ38" s="5">
        <f>(AQ32+IF(42&lt;=12,0,'前提'!$B$38*(IF(42&lt;=6,'前提'!$B$85,IF(42&lt;=12,'前提'!$B$86,IF(42&lt;=18,'前提'!$B$87,IF(42&lt;=24,'前提'!$B$88,IF(42&lt;=36,'前提'!$B$89,IF(42&lt;=48,'前提'!$B$90,'前提'!$B$91)))))))))*'前提'!$B$43</f>
        <v/>
      </c>
      <c r="AR38" s="5">
        <f>(AR32+IF(43&lt;=12,0,'前提'!$B$38*(IF(43&lt;=6,'前提'!$B$85,IF(43&lt;=12,'前提'!$B$86,IF(43&lt;=18,'前提'!$B$87,IF(43&lt;=24,'前提'!$B$88,IF(43&lt;=36,'前提'!$B$89,IF(43&lt;=48,'前提'!$B$90,'前提'!$B$91)))))))))*'前提'!$B$43</f>
        <v/>
      </c>
      <c r="AS38" s="5">
        <f>(AS32+IF(44&lt;=12,0,'前提'!$B$38*(IF(44&lt;=6,'前提'!$B$85,IF(44&lt;=12,'前提'!$B$86,IF(44&lt;=18,'前提'!$B$87,IF(44&lt;=24,'前提'!$B$88,IF(44&lt;=36,'前提'!$B$89,IF(44&lt;=48,'前提'!$B$90,'前提'!$B$91)))))))))*'前提'!$B$43</f>
        <v/>
      </c>
      <c r="AT38" s="5">
        <f>(AT32+IF(45&lt;=12,0,'前提'!$B$38*(IF(45&lt;=6,'前提'!$B$85,IF(45&lt;=12,'前提'!$B$86,IF(45&lt;=18,'前提'!$B$87,IF(45&lt;=24,'前提'!$B$88,IF(45&lt;=36,'前提'!$B$89,IF(45&lt;=48,'前提'!$B$90,'前提'!$B$91)))))))))*'前提'!$B$43</f>
        <v/>
      </c>
      <c r="AU38" s="5">
        <f>(AU32+IF(46&lt;=12,0,'前提'!$B$38*(IF(46&lt;=6,'前提'!$B$85,IF(46&lt;=12,'前提'!$B$86,IF(46&lt;=18,'前提'!$B$87,IF(46&lt;=24,'前提'!$B$88,IF(46&lt;=36,'前提'!$B$89,IF(46&lt;=48,'前提'!$B$90,'前提'!$B$91)))))))))*'前提'!$B$43</f>
        <v/>
      </c>
      <c r="AV38" s="5">
        <f>(AV32+IF(47&lt;=12,0,'前提'!$B$38*(IF(47&lt;=6,'前提'!$B$85,IF(47&lt;=12,'前提'!$B$86,IF(47&lt;=18,'前提'!$B$87,IF(47&lt;=24,'前提'!$B$88,IF(47&lt;=36,'前提'!$B$89,IF(47&lt;=48,'前提'!$B$90,'前提'!$B$91)))))))))*'前提'!$B$43</f>
        <v/>
      </c>
      <c r="AW38" s="5">
        <f>(AW32+IF(48&lt;=12,0,'前提'!$B$38*(IF(48&lt;=6,'前提'!$B$85,IF(48&lt;=12,'前提'!$B$86,IF(48&lt;=18,'前提'!$B$87,IF(48&lt;=24,'前提'!$B$88,IF(48&lt;=36,'前提'!$B$89,IF(48&lt;=48,'前提'!$B$90,'前提'!$B$91)))))))))*'前提'!$B$43</f>
        <v/>
      </c>
      <c r="AX38" s="5">
        <f>(AX32+IF(49&lt;=12,0,'前提'!$B$38*(IF(49&lt;=6,'前提'!$B$85,IF(49&lt;=12,'前提'!$B$86,IF(49&lt;=18,'前提'!$B$87,IF(49&lt;=24,'前提'!$B$88,IF(49&lt;=36,'前提'!$B$89,IF(49&lt;=48,'前提'!$B$90,'前提'!$B$91)))))))))*'前提'!$B$43</f>
        <v/>
      </c>
      <c r="AY38" s="5">
        <f>(AY32+IF(50&lt;=12,0,'前提'!$B$38*(IF(50&lt;=6,'前提'!$B$85,IF(50&lt;=12,'前提'!$B$86,IF(50&lt;=18,'前提'!$B$87,IF(50&lt;=24,'前提'!$B$88,IF(50&lt;=36,'前提'!$B$89,IF(50&lt;=48,'前提'!$B$90,'前提'!$B$91)))))))))*'前提'!$B$43</f>
        <v/>
      </c>
      <c r="AZ38" s="5">
        <f>(AZ32+IF(51&lt;=12,0,'前提'!$B$38*(IF(51&lt;=6,'前提'!$B$85,IF(51&lt;=12,'前提'!$B$86,IF(51&lt;=18,'前提'!$B$87,IF(51&lt;=24,'前提'!$B$88,IF(51&lt;=36,'前提'!$B$89,IF(51&lt;=48,'前提'!$B$90,'前提'!$B$91)))))))))*'前提'!$B$43</f>
        <v/>
      </c>
      <c r="BA38" s="5">
        <f>(BA32+IF(52&lt;=12,0,'前提'!$B$38*(IF(52&lt;=6,'前提'!$B$85,IF(52&lt;=12,'前提'!$B$86,IF(52&lt;=18,'前提'!$B$87,IF(52&lt;=24,'前提'!$B$88,IF(52&lt;=36,'前提'!$B$89,IF(52&lt;=48,'前提'!$B$90,'前提'!$B$91)))))))))*'前提'!$B$43</f>
        <v/>
      </c>
      <c r="BB38" s="5">
        <f>(BB32+IF(53&lt;=12,0,'前提'!$B$38*(IF(53&lt;=6,'前提'!$B$85,IF(53&lt;=12,'前提'!$B$86,IF(53&lt;=18,'前提'!$B$87,IF(53&lt;=24,'前提'!$B$88,IF(53&lt;=36,'前提'!$B$89,IF(53&lt;=48,'前提'!$B$90,'前提'!$B$91)))))))))*'前提'!$B$43</f>
        <v/>
      </c>
      <c r="BC38" s="5">
        <f>(BC32+IF(54&lt;=12,0,'前提'!$B$38*(IF(54&lt;=6,'前提'!$B$85,IF(54&lt;=12,'前提'!$B$86,IF(54&lt;=18,'前提'!$B$87,IF(54&lt;=24,'前提'!$B$88,IF(54&lt;=36,'前提'!$B$89,IF(54&lt;=48,'前提'!$B$90,'前提'!$B$91)))))))))*'前提'!$B$43</f>
        <v/>
      </c>
      <c r="BD38" s="5">
        <f>(BD32+IF(55&lt;=12,0,'前提'!$B$38*(IF(55&lt;=6,'前提'!$B$85,IF(55&lt;=12,'前提'!$B$86,IF(55&lt;=18,'前提'!$B$87,IF(55&lt;=24,'前提'!$B$88,IF(55&lt;=36,'前提'!$B$89,IF(55&lt;=48,'前提'!$B$90,'前提'!$B$91)))))))))*'前提'!$B$43</f>
        <v/>
      </c>
      <c r="BE38" s="5">
        <f>(BE32+IF(56&lt;=12,0,'前提'!$B$38*(IF(56&lt;=6,'前提'!$B$85,IF(56&lt;=12,'前提'!$B$86,IF(56&lt;=18,'前提'!$B$87,IF(56&lt;=24,'前提'!$B$88,IF(56&lt;=36,'前提'!$B$89,IF(56&lt;=48,'前提'!$B$90,'前提'!$B$91)))))))))*'前提'!$B$43</f>
        <v/>
      </c>
      <c r="BF38" s="5">
        <f>(BF32+IF(57&lt;=12,0,'前提'!$B$38*(IF(57&lt;=6,'前提'!$B$85,IF(57&lt;=12,'前提'!$B$86,IF(57&lt;=18,'前提'!$B$87,IF(57&lt;=24,'前提'!$B$88,IF(57&lt;=36,'前提'!$B$89,IF(57&lt;=48,'前提'!$B$90,'前提'!$B$91)))))))))*'前提'!$B$43</f>
        <v/>
      </c>
      <c r="BG38" s="5">
        <f>(BG32+IF(58&lt;=12,0,'前提'!$B$38*(IF(58&lt;=6,'前提'!$B$85,IF(58&lt;=12,'前提'!$B$86,IF(58&lt;=18,'前提'!$B$87,IF(58&lt;=24,'前提'!$B$88,IF(58&lt;=36,'前提'!$B$89,IF(58&lt;=48,'前提'!$B$90,'前提'!$B$91)))))))))*'前提'!$B$43</f>
        <v/>
      </c>
      <c r="BH38" s="5">
        <f>(BH32+IF(59&lt;=12,0,'前提'!$B$38*(IF(59&lt;=6,'前提'!$B$85,IF(59&lt;=12,'前提'!$B$86,IF(59&lt;=18,'前提'!$B$87,IF(59&lt;=24,'前提'!$B$88,IF(59&lt;=36,'前提'!$B$89,IF(59&lt;=48,'前提'!$B$90,'前提'!$B$91)))))))))*'前提'!$B$43</f>
        <v/>
      </c>
      <c r="BI38" s="5">
        <f>(BI32+IF(60&lt;=12,0,'前提'!$B$38*(IF(60&lt;=6,'前提'!$B$85,IF(60&lt;=12,'前提'!$B$86,IF(60&lt;=18,'前提'!$B$87,IF(60&lt;=24,'前提'!$B$88,IF(60&lt;=36,'前提'!$B$89,IF(60&lt;=48,'前提'!$B$90,'前提'!$B$91)))))))))*'前提'!$B$43</f>
        <v/>
      </c>
    </row>
    <row r="39">
      <c r="A39" t="inlineStr">
        <is>
          <t>福利厚生（全員）</t>
        </is>
      </c>
      <c r="B39" s="5">
        <f>(1+IF(1&lt;=6,'前提'!$B$36/160,IF(1&lt;=12,'前提'!$B$37/160,(IF(1&lt;=6,'前提'!$B$85,IF(1&lt;=12,'前提'!$B$86,IF(1&lt;=18,'前提'!$B$87,IF(1&lt;=24,'前提'!$B$88,IF(1&lt;=36,'前提'!$B$89,IF(1&lt;=48,'前提'!$B$90,'前提'!$B$91)))))))))+(IF(1&lt;=6,'前提'!$B$94,IF(1&lt;=12,'前提'!$B$95,IF(1&lt;=18,'前提'!$B$96,IF(1&lt;=24,'前提'!$B$97,IF(1&lt;=36,'前提'!$B$98,IF(1&lt;=48,'前提'!$B$99,'前提'!$B$100)))))))+IF(1&gt;=7,CEILING(B14/'前提'!$B$29,1),0)+IF(1&gt;=7,CEILING(B14/'前提'!$B$30,1),0)+IF(1&gt;=7,CEILING(B10/'前提'!$B$31,1),0))*'前提'!$B$44</f>
        <v/>
      </c>
      <c r="C39" s="5">
        <f>(1+IF(2&lt;=6,'前提'!$B$36/160,IF(2&lt;=12,'前提'!$B$37/160,(IF(2&lt;=6,'前提'!$B$85,IF(2&lt;=12,'前提'!$B$86,IF(2&lt;=18,'前提'!$B$87,IF(2&lt;=24,'前提'!$B$88,IF(2&lt;=36,'前提'!$B$89,IF(2&lt;=48,'前提'!$B$90,'前提'!$B$91)))))))))+(IF(2&lt;=6,'前提'!$B$94,IF(2&lt;=12,'前提'!$B$95,IF(2&lt;=18,'前提'!$B$96,IF(2&lt;=24,'前提'!$B$97,IF(2&lt;=36,'前提'!$B$98,IF(2&lt;=48,'前提'!$B$99,'前提'!$B$100)))))))+IF(2&gt;=7,CEILING(C14/'前提'!$B$29,1),0)+IF(2&gt;=7,CEILING(C14/'前提'!$B$30,1),0)+IF(2&gt;=7,CEILING(C10/'前提'!$B$31,1),0))*'前提'!$B$44</f>
        <v/>
      </c>
      <c r="D39" s="5">
        <f>(1+IF(3&lt;=6,'前提'!$B$36/160,IF(3&lt;=12,'前提'!$B$37/160,(IF(3&lt;=6,'前提'!$B$85,IF(3&lt;=12,'前提'!$B$86,IF(3&lt;=18,'前提'!$B$87,IF(3&lt;=24,'前提'!$B$88,IF(3&lt;=36,'前提'!$B$89,IF(3&lt;=48,'前提'!$B$90,'前提'!$B$91)))))))))+(IF(3&lt;=6,'前提'!$B$94,IF(3&lt;=12,'前提'!$B$95,IF(3&lt;=18,'前提'!$B$96,IF(3&lt;=24,'前提'!$B$97,IF(3&lt;=36,'前提'!$B$98,IF(3&lt;=48,'前提'!$B$99,'前提'!$B$100)))))))+IF(3&gt;=7,CEILING(D14/'前提'!$B$29,1),0)+IF(3&gt;=7,CEILING(D14/'前提'!$B$30,1),0)+IF(3&gt;=7,CEILING(D10/'前提'!$B$31,1),0))*'前提'!$B$44</f>
        <v/>
      </c>
      <c r="E39" s="5">
        <f>(1+IF(4&lt;=6,'前提'!$B$36/160,IF(4&lt;=12,'前提'!$B$37/160,(IF(4&lt;=6,'前提'!$B$85,IF(4&lt;=12,'前提'!$B$86,IF(4&lt;=18,'前提'!$B$87,IF(4&lt;=24,'前提'!$B$88,IF(4&lt;=36,'前提'!$B$89,IF(4&lt;=48,'前提'!$B$90,'前提'!$B$91)))))))))+(IF(4&lt;=6,'前提'!$B$94,IF(4&lt;=12,'前提'!$B$95,IF(4&lt;=18,'前提'!$B$96,IF(4&lt;=24,'前提'!$B$97,IF(4&lt;=36,'前提'!$B$98,IF(4&lt;=48,'前提'!$B$99,'前提'!$B$100)))))))+IF(4&gt;=7,CEILING(E14/'前提'!$B$29,1),0)+IF(4&gt;=7,CEILING(E14/'前提'!$B$30,1),0)+IF(4&gt;=7,CEILING(E10/'前提'!$B$31,1),0))*'前提'!$B$44</f>
        <v/>
      </c>
      <c r="F39" s="5">
        <f>(1+IF(5&lt;=6,'前提'!$B$36/160,IF(5&lt;=12,'前提'!$B$37/160,(IF(5&lt;=6,'前提'!$B$85,IF(5&lt;=12,'前提'!$B$86,IF(5&lt;=18,'前提'!$B$87,IF(5&lt;=24,'前提'!$B$88,IF(5&lt;=36,'前提'!$B$89,IF(5&lt;=48,'前提'!$B$90,'前提'!$B$91)))))))))+(IF(5&lt;=6,'前提'!$B$94,IF(5&lt;=12,'前提'!$B$95,IF(5&lt;=18,'前提'!$B$96,IF(5&lt;=24,'前提'!$B$97,IF(5&lt;=36,'前提'!$B$98,IF(5&lt;=48,'前提'!$B$99,'前提'!$B$100)))))))+IF(5&gt;=7,CEILING(F14/'前提'!$B$29,1),0)+IF(5&gt;=7,CEILING(F14/'前提'!$B$30,1),0)+IF(5&gt;=7,CEILING(F10/'前提'!$B$31,1),0))*'前提'!$B$44</f>
        <v/>
      </c>
      <c r="G39" s="5">
        <f>(1+IF(6&lt;=6,'前提'!$B$36/160,IF(6&lt;=12,'前提'!$B$37/160,(IF(6&lt;=6,'前提'!$B$85,IF(6&lt;=12,'前提'!$B$86,IF(6&lt;=18,'前提'!$B$87,IF(6&lt;=24,'前提'!$B$88,IF(6&lt;=36,'前提'!$B$89,IF(6&lt;=48,'前提'!$B$90,'前提'!$B$91)))))))))+(IF(6&lt;=6,'前提'!$B$94,IF(6&lt;=12,'前提'!$B$95,IF(6&lt;=18,'前提'!$B$96,IF(6&lt;=24,'前提'!$B$97,IF(6&lt;=36,'前提'!$B$98,IF(6&lt;=48,'前提'!$B$99,'前提'!$B$100)))))))+IF(6&gt;=7,CEILING(G14/'前提'!$B$29,1),0)+IF(6&gt;=7,CEILING(G14/'前提'!$B$30,1),0)+IF(6&gt;=7,CEILING(G10/'前提'!$B$31,1),0))*'前提'!$B$44</f>
        <v/>
      </c>
      <c r="H39" s="5">
        <f>(1+IF(7&lt;=6,'前提'!$B$36/160,IF(7&lt;=12,'前提'!$B$37/160,(IF(7&lt;=6,'前提'!$B$85,IF(7&lt;=12,'前提'!$B$86,IF(7&lt;=18,'前提'!$B$87,IF(7&lt;=24,'前提'!$B$88,IF(7&lt;=36,'前提'!$B$89,IF(7&lt;=48,'前提'!$B$90,'前提'!$B$91)))))))))+(IF(7&lt;=6,'前提'!$B$94,IF(7&lt;=12,'前提'!$B$95,IF(7&lt;=18,'前提'!$B$96,IF(7&lt;=24,'前提'!$B$97,IF(7&lt;=36,'前提'!$B$98,IF(7&lt;=48,'前提'!$B$99,'前提'!$B$100)))))))+IF(7&gt;=7,CEILING(H14/'前提'!$B$29,1),0)+IF(7&gt;=7,CEILING(H14/'前提'!$B$30,1),0)+IF(7&gt;=7,CEILING(H10/'前提'!$B$31,1),0))*'前提'!$B$44</f>
        <v/>
      </c>
      <c r="I39" s="5">
        <f>(1+IF(8&lt;=6,'前提'!$B$36/160,IF(8&lt;=12,'前提'!$B$37/160,(IF(8&lt;=6,'前提'!$B$85,IF(8&lt;=12,'前提'!$B$86,IF(8&lt;=18,'前提'!$B$87,IF(8&lt;=24,'前提'!$B$88,IF(8&lt;=36,'前提'!$B$89,IF(8&lt;=48,'前提'!$B$90,'前提'!$B$91)))))))))+(IF(8&lt;=6,'前提'!$B$94,IF(8&lt;=12,'前提'!$B$95,IF(8&lt;=18,'前提'!$B$96,IF(8&lt;=24,'前提'!$B$97,IF(8&lt;=36,'前提'!$B$98,IF(8&lt;=48,'前提'!$B$99,'前提'!$B$100)))))))+IF(8&gt;=7,CEILING(I14/'前提'!$B$29,1),0)+IF(8&gt;=7,CEILING(I14/'前提'!$B$30,1),0)+IF(8&gt;=7,CEILING(I10/'前提'!$B$31,1),0))*'前提'!$B$44</f>
        <v/>
      </c>
      <c r="J39" s="5">
        <f>(1+IF(9&lt;=6,'前提'!$B$36/160,IF(9&lt;=12,'前提'!$B$37/160,(IF(9&lt;=6,'前提'!$B$85,IF(9&lt;=12,'前提'!$B$86,IF(9&lt;=18,'前提'!$B$87,IF(9&lt;=24,'前提'!$B$88,IF(9&lt;=36,'前提'!$B$89,IF(9&lt;=48,'前提'!$B$90,'前提'!$B$91)))))))))+(IF(9&lt;=6,'前提'!$B$94,IF(9&lt;=12,'前提'!$B$95,IF(9&lt;=18,'前提'!$B$96,IF(9&lt;=24,'前提'!$B$97,IF(9&lt;=36,'前提'!$B$98,IF(9&lt;=48,'前提'!$B$99,'前提'!$B$100)))))))+IF(9&gt;=7,CEILING(J14/'前提'!$B$29,1),0)+IF(9&gt;=7,CEILING(J14/'前提'!$B$30,1),0)+IF(9&gt;=7,CEILING(J10/'前提'!$B$31,1),0))*'前提'!$B$44</f>
        <v/>
      </c>
      <c r="K39" s="5">
        <f>(1+IF(10&lt;=6,'前提'!$B$36/160,IF(10&lt;=12,'前提'!$B$37/160,(IF(10&lt;=6,'前提'!$B$85,IF(10&lt;=12,'前提'!$B$86,IF(10&lt;=18,'前提'!$B$87,IF(10&lt;=24,'前提'!$B$88,IF(10&lt;=36,'前提'!$B$89,IF(10&lt;=48,'前提'!$B$90,'前提'!$B$91)))))))))+(IF(10&lt;=6,'前提'!$B$94,IF(10&lt;=12,'前提'!$B$95,IF(10&lt;=18,'前提'!$B$96,IF(10&lt;=24,'前提'!$B$97,IF(10&lt;=36,'前提'!$B$98,IF(10&lt;=48,'前提'!$B$99,'前提'!$B$100)))))))+IF(10&gt;=7,CEILING(K14/'前提'!$B$29,1),0)+IF(10&gt;=7,CEILING(K14/'前提'!$B$30,1),0)+IF(10&gt;=7,CEILING(K10/'前提'!$B$31,1),0))*'前提'!$B$44</f>
        <v/>
      </c>
      <c r="L39" s="5">
        <f>(1+IF(11&lt;=6,'前提'!$B$36/160,IF(11&lt;=12,'前提'!$B$37/160,(IF(11&lt;=6,'前提'!$B$85,IF(11&lt;=12,'前提'!$B$86,IF(11&lt;=18,'前提'!$B$87,IF(11&lt;=24,'前提'!$B$88,IF(11&lt;=36,'前提'!$B$89,IF(11&lt;=48,'前提'!$B$90,'前提'!$B$91)))))))))+(IF(11&lt;=6,'前提'!$B$94,IF(11&lt;=12,'前提'!$B$95,IF(11&lt;=18,'前提'!$B$96,IF(11&lt;=24,'前提'!$B$97,IF(11&lt;=36,'前提'!$B$98,IF(11&lt;=48,'前提'!$B$99,'前提'!$B$100)))))))+IF(11&gt;=7,CEILING(L14/'前提'!$B$29,1),0)+IF(11&gt;=7,CEILING(L14/'前提'!$B$30,1),0)+IF(11&gt;=7,CEILING(L10/'前提'!$B$31,1),0))*'前提'!$B$44</f>
        <v/>
      </c>
      <c r="M39" s="5">
        <f>(1+IF(12&lt;=6,'前提'!$B$36/160,IF(12&lt;=12,'前提'!$B$37/160,(IF(12&lt;=6,'前提'!$B$85,IF(12&lt;=12,'前提'!$B$86,IF(12&lt;=18,'前提'!$B$87,IF(12&lt;=24,'前提'!$B$88,IF(12&lt;=36,'前提'!$B$89,IF(12&lt;=48,'前提'!$B$90,'前提'!$B$91)))))))))+(IF(12&lt;=6,'前提'!$B$94,IF(12&lt;=12,'前提'!$B$95,IF(12&lt;=18,'前提'!$B$96,IF(12&lt;=24,'前提'!$B$97,IF(12&lt;=36,'前提'!$B$98,IF(12&lt;=48,'前提'!$B$99,'前提'!$B$100)))))))+IF(12&gt;=7,CEILING(M14/'前提'!$B$29,1),0)+IF(12&gt;=7,CEILING(M14/'前提'!$B$30,1),0)+IF(12&gt;=7,CEILING(M10/'前提'!$B$31,1),0))*'前提'!$B$44</f>
        <v/>
      </c>
      <c r="N39" s="5">
        <f>(1+IF(13&lt;=6,'前提'!$B$36/160,IF(13&lt;=12,'前提'!$B$37/160,(IF(13&lt;=6,'前提'!$B$85,IF(13&lt;=12,'前提'!$B$86,IF(13&lt;=18,'前提'!$B$87,IF(13&lt;=24,'前提'!$B$88,IF(13&lt;=36,'前提'!$B$89,IF(13&lt;=48,'前提'!$B$90,'前提'!$B$91)))))))))+(IF(13&lt;=6,'前提'!$B$94,IF(13&lt;=12,'前提'!$B$95,IF(13&lt;=18,'前提'!$B$96,IF(13&lt;=24,'前提'!$B$97,IF(13&lt;=36,'前提'!$B$98,IF(13&lt;=48,'前提'!$B$99,'前提'!$B$100)))))))+IF(13&gt;=7,CEILING(N14/'前提'!$B$29,1),0)+IF(13&gt;=7,CEILING(N14/'前提'!$B$30,1),0)+IF(13&gt;=7,CEILING(N10/'前提'!$B$31,1),0))*'前提'!$B$44</f>
        <v/>
      </c>
      <c r="O39" s="5">
        <f>(1+IF(14&lt;=6,'前提'!$B$36/160,IF(14&lt;=12,'前提'!$B$37/160,(IF(14&lt;=6,'前提'!$B$85,IF(14&lt;=12,'前提'!$B$86,IF(14&lt;=18,'前提'!$B$87,IF(14&lt;=24,'前提'!$B$88,IF(14&lt;=36,'前提'!$B$89,IF(14&lt;=48,'前提'!$B$90,'前提'!$B$91)))))))))+(IF(14&lt;=6,'前提'!$B$94,IF(14&lt;=12,'前提'!$B$95,IF(14&lt;=18,'前提'!$B$96,IF(14&lt;=24,'前提'!$B$97,IF(14&lt;=36,'前提'!$B$98,IF(14&lt;=48,'前提'!$B$99,'前提'!$B$100)))))))+IF(14&gt;=7,CEILING(O14/'前提'!$B$29,1),0)+IF(14&gt;=7,CEILING(O14/'前提'!$B$30,1),0)+IF(14&gt;=7,CEILING(O10/'前提'!$B$31,1),0))*'前提'!$B$44</f>
        <v/>
      </c>
      <c r="P39" s="5">
        <f>(1+IF(15&lt;=6,'前提'!$B$36/160,IF(15&lt;=12,'前提'!$B$37/160,(IF(15&lt;=6,'前提'!$B$85,IF(15&lt;=12,'前提'!$B$86,IF(15&lt;=18,'前提'!$B$87,IF(15&lt;=24,'前提'!$B$88,IF(15&lt;=36,'前提'!$B$89,IF(15&lt;=48,'前提'!$B$90,'前提'!$B$91)))))))))+(IF(15&lt;=6,'前提'!$B$94,IF(15&lt;=12,'前提'!$B$95,IF(15&lt;=18,'前提'!$B$96,IF(15&lt;=24,'前提'!$B$97,IF(15&lt;=36,'前提'!$B$98,IF(15&lt;=48,'前提'!$B$99,'前提'!$B$100)))))))+IF(15&gt;=7,CEILING(P14/'前提'!$B$29,1),0)+IF(15&gt;=7,CEILING(P14/'前提'!$B$30,1),0)+IF(15&gt;=7,CEILING(P10/'前提'!$B$31,1),0))*'前提'!$B$44</f>
        <v/>
      </c>
      <c r="Q39" s="5">
        <f>(1+IF(16&lt;=6,'前提'!$B$36/160,IF(16&lt;=12,'前提'!$B$37/160,(IF(16&lt;=6,'前提'!$B$85,IF(16&lt;=12,'前提'!$B$86,IF(16&lt;=18,'前提'!$B$87,IF(16&lt;=24,'前提'!$B$88,IF(16&lt;=36,'前提'!$B$89,IF(16&lt;=48,'前提'!$B$90,'前提'!$B$91)))))))))+(IF(16&lt;=6,'前提'!$B$94,IF(16&lt;=12,'前提'!$B$95,IF(16&lt;=18,'前提'!$B$96,IF(16&lt;=24,'前提'!$B$97,IF(16&lt;=36,'前提'!$B$98,IF(16&lt;=48,'前提'!$B$99,'前提'!$B$100)))))))+IF(16&gt;=7,CEILING(Q14/'前提'!$B$29,1),0)+IF(16&gt;=7,CEILING(Q14/'前提'!$B$30,1),0)+IF(16&gt;=7,CEILING(Q10/'前提'!$B$31,1),0))*'前提'!$B$44</f>
        <v/>
      </c>
      <c r="R39" s="5">
        <f>(1+IF(17&lt;=6,'前提'!$B$36/160,IF(17&lt;=12,'前提'!$B$37/160,(IF(17&lt;=6,'前提'!$B$85,IF(17&lt;=12,'前提'!$B$86,IF(17&lt;=18,'前提'!$B$87,IF(17&lt;=24,'前提'!$B$88,IF(17&lt;=36,'前提'!$B$89,IF(17&lt;=48,'前提'!$B$90,'前提'!$B$91)))))))))+(IF(17&lt;=6,'前提'!$B$94,IF(17&lt;=12,'前提'!$B$95,IF(17&lt;=18,'前提'!$B$96,IF(17&lt;=24,'前提'!$B$97,IF(17&lt;=36,'前提'!$B$98,IF(17&lt;=48,'前提'!$B$99,'前提'!$B$100)))))))+IF(17&gt;=7,CEILING(R14/'前提'!$B$29,1),0)+IF(17&gt;=7,CEILING(R14/'前提'!$B$30,1),0)+IF(17&gt;=7,CEILING(R10/'前提'!$B$31,1),0))*'前提'!$B$44</f>
        <v/>
      </c>
      <c r="S39" s="5">
        <f>(1+IF(18&lt;=6,'前提'!$B$36/160,IF(18&lt;=12,'前提'!$B$37/160,(IF(18&lt;=6,'前提'!$B$85,IF(18&lt;=12,'前提'!$B$86,IF(18&lt;=18,'前提'!$B$87,IF(18&lt;=24,'前提'!$B$88,IF(18&lt;=36,'前提'!$B$89,IF(18&lt;=48,'前提'!$B$90,'前提'!$B$91)))))))))+(IF(18&lt;=6,'前提'!$B$94,IF(18&lt;=12,'前提'!$B$95,IF(18&lt;=18,'前提'!$B$96,IF(18&lt;=24,'前提'!$B$97,IF(18&lt;=36,'前提'!$B$98,IF(18&lt;=48,'前提'!$B$99,'前提'!$B$100)))))))+IF(18&gt;=7,CEILING(S14/'前提'!$B$29,1),0)+IF(18&gt;=7,CEILING(S14/'前提'!$B$30,1),0)+IF(18&gt;=7,CEILING(S10/'前提'!$B$31,1),0))*'前提'!$B$44</f>
        <v/>
      </c>
      <c r="T39" s="5">
        <f>(1+IF(19&lt;=6,'前提'!$B$36/160,IF(19&lt;=12,'前提'!$B$37/160,(IF(19&lt;=6,'前提'!$B$85,IF(19&lt;=12,'前提'!$B$86,IF(19&lt;=18,'前提'!$B$87,IF(19&lt;=24,'前提'!$B$88,IF(19&lt;=36,'前提'!$B$89,IF(19&lt;=48,'前提'!$B$90,'前提'!$B$91)))))))))+(IF(19&lt;=6,'前提'!$B$94,IF(19&lt;=12,'前提'!$B$95,IF(19&lt;=18,'前提'!$B$96,IF(19&lt;=24,'前提'!$B$97,IF(19&lt;=36,'前提'!$B$98,IF(19&lt;=48,'前提'!$B$99,'前提'!$B$100)))))))+IF(19&gt;=7,CEILING(T14/'前提'!$B$29,1),0)+IF(19&gt;=7,CEILING(T14/'前提'!$B$30,1),0)+IF(19&gt;=7,CEILING(T10/'前提'!$B$31,1),0))*'前提'!$B$44</f>
        <v/>
      </c>
      <c r="U39" s="5">
        <f>(1+IF(20&lt;=6,'前提'!$B$36/160,IF(20&lt;=12,'前提'!$B$37/160,(IF(20&lt;=6,'前提'!$B$85,IF(20&lt;=12,'前提'!$B$86,IF(20&lt;=18,'前提'!$B$87,IF(20&lt;=24,'前提'!$B$88,IF(20&lt;=36,'前提'!$B$89,IF(20&lt;=48,'前提'!$B$90,'前提'!$B$91)))))))))+(IF(20&lt;=6,'前提'!$B$94,IF(20&lt;=12,'前提'!$B$95,IF(20&lt;=18,'前提'!$B$96,IF(20&lt;=24,'前提'!$B$97,IF(20&lt;=36,'前提'!$B$98,IF(20&lt;=48,'前提'!$B$99,'前提'!$B$100)))))))+IF(20&gt;=7,CEILING(U14/'前提'!$B$29,1),0)+IF(20&gt;=7,CEILING(U14/'前提'!$B$30,1),0)+IF(20&gt;=7,CEILING(U10/'前提'!$B$31,1),0))*'前提'!$B$44</f>
        <v/>
      </c>
      <c r="V39" s="5">
        <f>(1+IF(21&lt;=6,'前提'!$B$36/160,IF(21&lt;=12,'前提'!$B$37/160,(IF(21&lt;=6,'前提'!$B$85,IF(21&lt;=12,'前提'!$B$86,IF(21&lt;=18,'前提'!$B$87,IF(21&lt;=24,'前提'!$B$88,IF(21&lt;=36,'前提'!$B$89,IF(21&lt;=48,'前提'!$B$90,'前提'!$B$91)))))))))+(IF(21&lt;=6,'前提'!$B$94,IF(21&lt;=12,'前提'!$B$95,IF(21&lt;=18,'前提'!$B$96,IF(21&lt;=24,'前提'!$B$97,IF(21&lt;=36,'前提'!$B$98,IF(21&lt;=48,'前提'!$B$99,'前提'!$B$100)))))))+IF(21&gt;=7,CEILING(V14/'前提'!$B$29,1),0)+IF(21&gt;=7,CEILING(V14/'前提'!$B$30,1),0)+IF(21&gt;=7,CEILING(V10/'前提'!$B$31,1),0))*'前提'!$B$44</f>
        <v/>
      </c>
      <c r="W39" s="5">
        <f>(1+IF(22&lt;=6,'前提'!$B$36/160,IF(22&lt;=12,'前提'!$B$37/160,(IF(22&lt;=6,'前提'!$B$85,IF(22&lt;=12,'前提'!$B$86,IF(22&lt;=18,'前提'!$B$87,IF(22&lt;=24,'前提'!$B$88,IF(22&lt;=36,'前提'!$B$89,IF(22&lt;=48,'前提'!$B$90,'前提'!$B$91)))))))))+(IF(22&lt;=6,'前提'!$B$94,IF(22&lt;=12,'前提'!$B$95,IF(22&lt;=18,'前提'!$B$96,IF(22&lt;=24,'前提'!$B$97,IF(22&lt;=36,'前提'!$B$98,IF(22&lt;=48,'前提'!$B$99,'前提'!$B$100)))))))+IF(22&gt;=7,CEILING(W14/'前提'!$B$29,1),0)+IF(22&gt;=7,CEILING(W14/'前提'!$B$30,1),0)+IF(22&gt;=7,CEILING(W10/'前提'!$B$31,1),0))*'前提'!$B$44</f>
        <v/>
      </c>
      <c r="X39" s="5">
        <f>(1+IF(23&lt;=6,'前提'!$B$36/160,IF(23&lt;=12,'前提'!$B$37/160,(IF(23&lt;=6,'前提'!$B$85,IF(23&lt;=12,'前提'!$B$86,IF(23&lt;=18,'前提'!$B$87,IF(23&lt;=24,'前提'!$B$88,IF(23&lt;=36,'前提'!$B$89,IF(23&lt;=48,'前提'!$B$90,'前提'!$B$91)))))))))+(IF(23&lt;=6,'前提'!$B$94,IF(23&lt;=12,'前提'!$B$95,IF(23&lt;=18,'前提'!$B$96,IF(23&lt;=24,'前提'!$B$97,IF(23&lt;=36,'前提'!$B$98,IF(23&lt;=48,'前提'!$B$99,'前提'!$B$100)))))))+IF(23&gt;=7,CEILING(X14/'前提'!$B$29,1),0)+IF(23&gt;=7,CEILING(X14/'前提'!$B$30,1),0)+IF(23&gt;=7,CEILING(X10/'前提'!$B$31,1),0))*'前提'!$B$44</f>
        <v/>
      </c>
      <c r="Y39" s="5">
        <f>(1+IF(24&lt;=6,'前提'!$B$36/160,IF(24&lt;=12,'前提'!$B$37/160,(IF(24&lt;=6,'前提'!$B$85,IF(24&lt;=12,'前提'!$B$86,IF(24&lt;=18,'前提'!$B$87,IF(24&lt;=24,'前提'!$B$88,IF(24&lt;=36,'前提'!$B$89,IF(24&lt;=48,'前提'!$B$90,'前提'!$B$91)))))))))+(IF(24&lt;=6,'前提'!$B$94,IF(24&lt;=12,'前提'!$B$95,IF(24&lt;=18,'前提'!$B$96,IF(24&lt;=24,'前提'!$B$97,IF(24&lt;=36,'前提'!$B$98,IF(24&lt;=48,'前提'!$B$99,'前提'!$B$100)))))))+IF(24&gt;=7,CEILING(Y14/'前提'!$B$29,1),0)+IF(24&gt;=7,CEILING(Y14/'前提'!$B$30,1),0)+IF(24&gt;=7,CEILING(Y10/'前提'!$B$31,1),0))*'前提'!$B$44</f>
        <v/>
      </c>
      <c r="Z39" s="5">
        <f>(1+IF(25&lt;=6,'前提'!$B$36/160,IF(25&lt;=12,'前提'!$B$37/160,(IF(25&lt;=6,'前提'!$B$85,IF(25&lt;=12,'前提'!$B$86,IF(25&lt;=18,'前提'!$B$87,IF(25&lt;=24,'前提'!$B$88,IF(25&lt;=36,'前提'!$B$89,IF(25&lt;=48,'前提'!$B$90,'前提'!$B$91)))))))))+(IF(25&lt;=6,'前提'!$B$94,IF(25&lt;=12,'前提'!$B$95,IF(25&lt;=18,'前提'!$B$96,IF(25&lt;=24,'前提'!$B$97,IF(25&lt;=36,'前提'!$B$98,IF(25&lt;=48,'前提'!$B$99,'前提'!$B$100)))))))+IF(25&gt;=7,CEILING(Z14/'前提'!$B$29,1),0)+IF(25&gt;=7,CEILING(Z14/'前提'!$B$30,1),0)+IF(25&gt;=7,CEILING(Z10/'前提'!$B$31,1),0))*'前提'!$B$44</f>
        <v/>
      </c>
      <c r="AA39" s="5">
        <f>(1+IF(26&lt;=6,'前提'!$B$36/160,IF(26&lt;=12,'前提'!$B$37/160,(IF(26&lt;=6,'前提'!$B$85,IF(26&lt;=12,'前提'!$B$86,IF(26&lt;=18,'前提'!$B$87,IF(26&lt;=24,'前提'!$B$88,IF(26&lt;=36,'前提'!$B$89,IF(26&lt;=48,'前提'!$B$90,'前提'!$B$91)))))))))+(IF(26&lt;=6,'前提'!$B$94,IF(26&lt;=12,'前提'!$B$95,IF(26&lt;=18,'前提'!$B$96,IF(26&lt;=24,'前提'!$B$97,IF(26&lt;=36,'前提'!$B$98,IF(26&lt;=48,'前提'!$B$99,'前提'!$B$100)))))))+IF(26&gt;=7,CEILING(AA14/'前提'!$B$29,1),0)+IF(26&gt;=7,CEILING(AA14/'前提'!$B$30,1),0)+IF(26&gt;=7,CEILING(AA10/'前提'!$B$31,1),0))*'前提'!$B$44</f>
        <v/>
      </c>
      <c r="AB39" s="5">
        <f>(1+IF(27&lt;=6,'前提'!$B$36/160,IF(27&lt;=12,'前提'!$B$37/160,(IF(27&lt;=6,'前提'!$B$85,IF(27&lt;=12,'前提'!$B$86,IF(27&lt;=18,'前提'!$B$87,IF(27&lt;=24,'前提'!$B$88,IF(27&lt;=36,'前提'!$B$89,IF(27&lt;=48,'前提'!$B$90,'前提'!$B$91)))))))))+(IF(27&lt;=6,'前提'!$B$94,IF(27&lt;=12,'前提'!$B$95,IF(27&lt;=18,'前提'!$B$96,IF(27&lt;=24,'前提'!$B$97,IF(27&lt;=36,'前提'!$B$98,IF(27&lt;=48,'前提'!$B$99,'前提'!$B$100)))))))+IF(27&gt;=7,CEILING(AB14/'前提'!$B$29,1),0)+IF(27&gt;=7,CEILING(AB14/'前提'!$B$30,1),0)+IF(27&gt;=7,CEILING(AB10/'前提'!$B$31,1),0))*'前提'!$B$44</f>
        <v/>
      </c>
      <c r="AC39" s="5">
        <f>(1+IF(28&lt;=6,'前提'!$B$36/160,IF(28&lt;=12,'前提'!$B$37/160,(IF(28&lt;=6,'前提'!$B$85,IF(28&lt;=12,'前提'!$B$86,IF(28&lt;=18,'前提'!$B$87,IF(28&lt;=24,'前提'!$B$88,IF(28&lt;=36,'前提'!$B$89,IF(28&lt;=48,'前提'!$B$90,'前提'!$B$91)))))))))+(IF(28&lt;=6,'前提'!$B$94,IF(28&lt;=12,'前提'!$B$95,IF(28&lt;=18,'前提'!$B$96,IF(28&lt;=24,'前提'!$B$97,IF(28&lt;=36,'前提'!$B$98,IF(28&lt;=48,'前提'!$B$99,'前提'!$B$100)))))))+IF(28&gt;=7,CEILING(AC14/'前提'!$B$29,1),0)+IF(28&gt;=7,CEILING(AC14/'前提'!$B$30,1),0)+IF(28&gt;=7,CEILING(AC10/'前提'!$B$31,1),0))*'前提'!$B$44</f>
        <v/>
      </c>
      <c r="AD39" s="5">
        <f>(1+IF(29&lt;=6,'前提'!$B$36/160,IF(29&lt;=12,'前提'!$B$37/160,(IF(29&lt;=6,'前提'!$B$85,IF(29&lt;=12,'前提'!$B$86,IF(29&lt;=18,'前提'!$B$87,IF(29&lt;=24,'前提'!$B$88,IF(29&lt;=36,'前提'!$B$89,IF(29&lt;=48,'前提'!$B$90,'前提'!$B$91)))))))))+(IF(29&lt;=6,'前提'!$B$94,IF(29&lt;=12,'前提'!$B$95,IF(29&lt;=18,'前提'!$B$96,IF(29&lt;=24,'前提'!$B$97,IF(29&lt;=36,'前提'!$B$98,IF(29&lt;=48,'前提'!$B$99,'前提'!$B$100)))))))+IF(29&gt;=7,CEILING(AD14/'前提'!$B$29,1),0)+IF(29&gt;=7,CEILING(AD14/'前提'!$B$30,1),0)+IF(29&gt;=7,CEILING(AD10/'前提'!$B$31,1),0))*'前提'!$B$44</f>
        <v/>
      </c>
      <c r="AE39" s="5">
        <f>(1+IF(30&lt;=6,'前提'!$B$36/160,IF(30&lt;=12,'前提'!$B$37/160,(IF(30&lt;=6,'前提'!$B$85,IF(30&lt;=12,'前提'!$B$86,IF(30&lt;=18,'前提'!$B$87,IF(30&lt;=24,'前提'!$B$88,IF(30&lt;=36,'前提'!$B$89,IF(30&lt;=48,'前提'!$B$90,'前提'!$B$91)))))))))+(IF(30&lt;=6,'前提'!$B$94,IF(30&lt;=12,'前提'!$B$95,IF(30&lt;=18,'前提'!$B$96,IF(30&lt;=24,'前提'!$B$97,IF(30&lt;=36,'前提'!$B$98,IF(30&lt;=48,'前提'!$B$99,'前提'!$B$100)))))))+IF(30&gt;=7,CEILING(AE14/'前提'!$B$29,1),0)+IF(30&gt;=7,CEILING(AE14/'前提'!$B$30,1),0)+IF(30&gt;=7,CEILING(AE10/'前提'!$B$31,1),0))*'前提'!$B$44</f>
        <v/>
      </c>
      <c r="AF39" s="5">
        <f>(1+IF(31&lt;=6,'前提'!$B$36/160,IF(31&lt;=12,'前提'!$B$37/160,(IF(31&lt;=6,'前提'!$B$85,IF(31&lt;=12,'前提'!$B$86,IF(31&lt;=18,'前提'!$B$87,IF(31&lt;=24,'前提'!$B$88,IF(31&lt;=36,'前提'!$B$89,IF(31&lt;=48,'前提'!$B$90,'前提'!$B$91)))))))))+(IF(31&lt;=6,'前提'!$B$94,IF(31&lt;=12,'前提'!$B$95,IF(31&lt;=18,'前提'!$B$96,IF(31&lt;=24,'前提'!$B$97,IF(31&lt;=36,'前提'!$B$98,IF(31&lt;=48,'前提'!$B$99,'前提'!$B$100)))))))+IF(31&gt;=7,CEILING(AF14/'前提'!$B$29,1),0)+IF(31&gt;=7,CEILING(AF14/'前提'!$B$30,1),0)+IF(31&gt;=7,CEILING(AF10/'前提'!$B$31,1),0))*'前提'!$B$44</f>
        <v/>
      </c>
      <c r="AG39" s="5">
        <f>(1+IF(32&lt;=6,'前提'!$B$36/160,IF(32&lt;=12,'前提'!$B$37/160,(IF(32&lt;=6,'前提'!$B$85,IF(32&lt;=12,'前提'!$B$86,IF(32&lt;=18,'前提'!$B$87,IF(32&lt;=24,'前提'!$B$88,IF(32&lt;=36,'前提'!$B$89,IF(32&lt;=48,'前提'!$B$90,'前提'!$B$91)))))))))+(IF(32&lt;=6,'前提'!$B$94,IF(32&lt;=12,'前提'!$B$95,IF(32&lt;=18,'前提'!$B$96,IF(32&lt;=24,'前提'!$B$97,IF(32&lt;=36,'前提'!$B$98,IF(32&lt;=48,'前提'!$B$99,'前提'!$B$100)))))))+IF(32&gt;=7,CEILING(AG14/'前提'!$B$29,1),0)+IF(32&gt;=7,CEILING(AG14/'前提'!$B$30,1),0)+IF(32&gt;=7,CEILING(AG10/'前提'!$B$31,1),0))*'前提'!$B$44</f>
        <v/>
      </c>
      <c r="AH39" s="5">
        <f>(1+IF(33&lt;=6,'前提'!$B$36/160,IF(33&lt;=12,'前提'!$B$37/160,(IF(33&lt;=6,'前提'!$B$85,IF(33&lt;=12,'前提'!$B$86,IF(33&lt;=18,'前提'!$B$87,IF(33&lt;=24,'前提'!$B$88,IF(33&lt;=36,'前提'!$B$89,IF(33&lt;=48,'前提'!$B$90,'前提'!$B$91)))))))))+(IF(33&lt;=6,'前提'!$B$94,IF(33&lt;=12,'前提'!$B$95,IF(33&lt;=18,'前提'!$B$96,IF(33&lt;=24,'前提'!$B$97,IF(33&lt;=36,'前提'!$B$98,IF(33&lt;=48,'前提'!$B$99,'前提'!$B$100)))))))+IF(33&gt;=7,CEILING(AH14/'前提'!$B$29,1),0)+IF(33&gt;=7,CEILING(AH14/'前提'!$B$30,1),0)+IF(33&gt;=7,CEILING(AH10/'前提'!$B$31,1),0))*'前提'!$B$44</f>
        <v/>
      </c>
      <c r="AI39" s="5">
        <f>(1+IF(34&lt;=6,'前提'!$B$36/160,IF(34&lt;=12,'前提'!$B$37/160,(IF(34&lt;=6,'前提'!$B$85,IF(34&lt;=12,'前提'!$B$86,IF(34&lt;=18,'前提'!$B$87,IF(34&lt;=24,'前提'!$B$88,IF(34&lt;=36,'前提'!$B$89,IF(34&lt;=48,'前提'!$B$90,'前提'!$B$91)))))))))+(IF(34&lt;=6,'前提'!$B$94,IF(34&lt;=12,'前提'!$B$95,IF(34&lt;=18,'前提'!$B$96,IF(34&lt;=24,'前提'!$B$97,IF(34&lt;=36,'前提'!$B$98,IF(34&lt;=48,'前提'!$B$99,'前提'!$B$100)))))))+IF(34&gt;=7,CEILING(AI14/'前提'!$B$29,1),0)+IF(34&gt;=7,CEILING(AI14/'前提'!$B$30,1),0)+IF(34&gt;=7,CEILING(AI10/'前提'!$B$31,1),0))*'前提'!$B$44</f>
        <v/>
      </c>
      <c r="AJ39" s="5">
        <f>(1+IF(35&lt;=6,'前提'!$B$36/160,IF(35&lt;=12,'前提'!$B$37/160,(IF(35&lt;=6,'前提'!$B$85,IF(35&lt;=12,'前提'!$B$86,IF(35&lt;=18,'前提'!$B$87,IF(35&lt;=24,'前提'!$B$88,IF(35&lt;=36,'前提'!$B$89,IF(35&lt;=48,'前提'!$B$90,'前提'!$B$91)))))))))+(IF(35&lt;=6,'前提'!$B$94,IF(35&lt;=12,'前提'!$B$95,IF(35&lt;=18,'前提'!$B$96,IF(35&lt;=24,'前提'!$B$97,IF(35&lt;=36,'前提'!$B$98,IF(35&lt;=48,'前提'!$B$99,'前提'!$B$100)))))))+IF(35&gt;=7,CEILING(AJ14/'前提'!$B$29,1),0)+IF(35&gt;=7,CEILING(AJ14/'前提'!$B$30,1),0)+IF(35&gt;=7,CEILING(AJ10/'前提'!$B$31,1),0))*'前提'!$B$44</f>
        <v/>
      </c>
      <c r="AK39" s="5">
        <f>(1+IF(36&lt;=6,'前提'!$B$36/160,IF(36&lt;=12,'前提'!$B$37/160,(IF(36&lt;=6,'前提'!$B$85,IF(36&lt;=12,'前提'!$B$86,IF(36&lt;=18,'前提'!$B$87,IF(36&lt;=24,'前提'!$B$88,IF(36&lt;=36,'前提'!$B$89,IF(36&lt;=48,'前提'!$B$90,'前提'!$B$91)))))))))+(IF(36&lt;=6,'前提'!$B$94,IF(36&lt;=12,'前提'!$B$95,IF(36&lt;=18,'前提'!$B$96,IF(36&lt;=24,'前提'!$B$97,IF(36&lt;=36,'前提'!$B$98,IF(36&lt;=48,'前提'!$B$99,'前提'!$B$100)))))))+IF(36&gt;=7,CEILING(AK14/'前提'!$B$29,1),0)+IF(36&gt;=7,CEILING(AK14/'前提'!$B$30,1),0)+IF(36&gt;=7,CEILING(AK10/'前提'!$B$31,1),0))*'前提'!$B$44</f>
        <v/>
      </c>
      <c r="AL39" s="5">
        <f>(1+IF(37&lt;=6,'前提'!$B$36/160,IF(37&lt;=12,'前提'!$B$37/160,(IF(37&lt;=6,'前提'!$B$85,IF(37&lt;=12,'前提'!$B$86,IF(37&lt;=18,'前提'!$B$87,IF(37&lt;=24,'前提'!$B$88,IF(37&lt;=36,'前提'!$B$89,IF(37&lt;=48,'前提'!$B$90,'前提'!$B$91)))))))))+(IF(37&lt;=6,'前提'!$B$94,IF(37&lt;=12,'前提'!$B$95,IF(37&lt;=18,'前提'!$B$96,IF(37&lt;=24,'前提'!$B$97,IF(37&lt;=36,'前提'!$B$98,IF(37&lt;=48,'前提'!$B$99,'前提'!$B$100)))))))+IF(37&gt;=7,CEILING(AL14/'前提'!$B$29,1),0)+IF(37&gt;=7,CEILING(AL14/'前提'!$B$30,1),0)+IF(37&gt;=7,CEILING(AL10/'前提'!$B$31,1),0))*'前提'!$B$44</f>
        <v/>
      </c>
      <c r="AM39" s="5">
        <f>(1+IF(38&lt;=6,'前提'!$B$36/160,IF(38&lt;=12,'前提'!$B$37/160,(IF(38&lt;=6,'前提'!$B$85,IF(38&lt;=12,'前提'!$B$86,IF(38&lt;=18,'前提'!$B$87,IF(38&lt;=24,'前提'!$B$88,IF(38&lt;=36,'前提'!$B$89,IF(38&lt;=48,'前提'!$B$90,'前提'!$B$91)))))))))+(IF(38&lt;=6,'前提'!$B$94,IF(38&lt;=12,'前提'!$B$95,IF(38&lt;=18,'前提'!$B$96,IF(38&lt;=24,'前提'!$B$97,IF(38&lt;=36,'前提'!$B$98,IF(38&lt;=48,'前提'!$B$99,'前提'!$B$100)))))))+IF(38&gt;=7,CEILING(AM14/'前提'!$B$29,1),0)+IF(38&gt;=7,CEILING(AM14/'前提'!$B$30,1),0)+IF(38&gt;=7,CEILING(AM10/'前提'!$B$31,1),0))*'前提'!$B$44</f>
        <v/>
      </c>
      <c r="AN39" s="5">
        <f>(1+IF(39&lt;=6,'前提'!$B$36/160,IF(39&lt;=12,'前提'!$B$37/160,(IF(39&lt;=6,'前提'!$B$85,IF(39&lt;=12,'前提'!$B$86,IF(39&lt;=18,'前提'!$B$87,IF(39&lt;=24,'前提'!$B$88,IF(39&lt;=36,'前提'!$B$89,IF(39&lt;=48,'前提'!$B$90,'前提'!$B$91)))))))))+(IF(39&lt;=6,'前提'!$B$94,IF(39&lt;=12,'前提'!$B$95,IF(39&lt;=18,'前提'!$B$96,IF(39&lt;=24,'前提'!$B$97,IF(39&lt;=36,'前提'!$B$98,IF(39&lt;=48,'前提'!$B$99,'前提'!$B$100)))))))+IF(39&gt;=7,CEILING(AN14/'前提'!$B$29,1),0)+IF(39&gt;=7,CEILING(AN14/'前提'!$B$30,1),0)+IF(39&gt;=7,CEILING(AN10/'前提'!$B$31,1),0))*'前提'!$B$44</f>
        <v/>
      </c>
      <c r="AO39" s="5">
        <f>(1+IF(40&lt;=6,'前提'!$B$36/160,IF(40&lt;=12,'前提'!$B$37/160,(IF(40&lt;=6,'前提'!$B$85,IF(40&lt;=12,'前提'!$B$86,IF(40&lt;=18,'前提'!$B$87,IF(40&lt;=24,'前提'!$B$88,IF(40&lt;=36,'前提'!$B$89,IF(40&lt;=48,'前提'!$B$90,'前提'!$B$91)))))))))+(IF(40&lt;=6,'前提'!$B$94,IF(40&lt;=12,'前提'!$B$95,IF(40&lt;=18,'前提'!$B$96,IF(40&lt;=24,'前提'!$B$97,IF(40&lt;=36,'前提'!$B$98,IF(40&lt;=48,'前提'!$B$99,'前提'!$B$100)))))))+IF(40&gt;=7,CEILING(AO14/'前提'!$B$29,1),0)+IF(40&gt;=7,CEILING(AO14/'前提'!$B$30,1),0)+IF(40&gt;=7,CEILING(AO10/'前提'!$B$31,1),0))*'前提'!$B$44</f>
        <v/>
      </c>
      <c r="AP39" s="5">
        <f>(1+IF(41&lt;=6,'前提'!$B$36/160,IF(41&lt;=12,'前提'!$B$37/160,(IF(41&lt;=6,'前提'!$B$85,IF(41&lt;=12,'前提'!$B$86,IF(41&lt;=18,'前提'!$B$87,IF(41&lt;=24,'前提'!$B$88,IF(41&lt;=36,'前提'!$B$89,IF(41&lt;=48,'前提'!$B$90,'前提'!$B$91)))))))))+(IF(41&lt;=6,'前提'!$B$94,IF(41&lt;=12,'前提'!$B$95,IF(41&lt;=18,'前提'!$B$96,IF(41&lt;=24,'前提'!$B$97,IF(41&lt;=36,'前提'!$B$98,IF(41&lt;=48,'前提'!$B$99,'前提'!$B$100)))))))+IF(41&gt;=7,CEILING(AP14/'前提'!$B$29,1),0)+IF(41&gt;=7,CEILING(AP14/'前提'!$B$30,1),0)+IF(41&gt;=7,CEILING(AP10/'前提'!$B$31,1),0))*'前提'!$B$44</f>
        <v/>
      </c>
      <c r="AQ39" s="5">
        <f>(1+IF(42&lt;=6,'前提'!$B$36/160,IF(42&lt;=12,'前提'!$B$37/160,(IF(42&lt;=6,'前提'!$B$85,IF(42&lt;=12,'前提'!$B$86,IF(42&lt;=18,'前提'!$B$87,IF(42&lt;=24,'前提'!$B$88,IF(42&lt;=36,'前提'!$B$89,IF(42&lt;=48,'前提'!$B$90,'前提'!$B$91)))))))))+(IF(42&lt;=6,'前提'!$B$94,IF(42&lt;=12,'前提'!$B$95,IF(42&lt;=18,'前提'!$B$96,IF(42&lt;=24,'前提'!$B$97,IF(42&lt;=36,'前提'!$B$98,IF(42&lt;=48,'前提'!$B$99,'前提'!$B$100)))))))+IF(42&gt;=7,CEILING(AQ14/'前提'!$B$29,1),0)+IF(42&gt;=7,CEILING(AQ14/'前提'!$B$30,1),0)+IF(42&gt;=7,CEILING(AQ10/'前提'!$B$31,1),0))*'前提'!$B$44</f>
        <v/>
      </c>
      <c r="AR39" s="5">
        <f>(1+IF(43&lt;=6,'前提'!$B$36/160,IF(43&lt;=12,'前提'!$B$37/160,(IF(43&lt;=6,'前提'!$B$85,IF(43&lt;=12,'前提'!$B$86,IF(43&lt;=18,'前提'!$B$87,IF(43&lt;=24,'前提'!$B$88,IF(43&lt;=36,'前提'!$B$89,IF(43&lt;=48,'前提'!$B$90,'前提'!$B$91)))))))))+(IF(43&lt;=6,'前提'!$B$94,IF(43&lt;=12,'前提'!$B$95,IF(43&lt;=18,'前提'!$B$96,IF(43&lt;=24,'前提'!$B$97,IF(43&lt;=36,'前提'!$B$98,IF(43&lt;=48,'前提'!$B$99,'前提'!$B$100)))))))+IF(43&gt;=7,CEILING(AR14/'前提'!$B$29,1),0)+IF(43&gt;=7,CEILING(AR14/'前提'!$B$30,1),0)+IF(43&gt;=7,CEILING(AR10/'前提'!$B$31,1),0))*'前提'!$B$44</f>
        <v/>
      </c>
      <c r="AS39" s="5">
        <f>(1+IF(44&lt;=6,'前提'!$B$36/160,IF(44&lt;=12,'前提'!$B$37/160,(IF(44&lt;=6,'前提'!$B$85,IF(44&lt;=12,'前提'!$B$86,IF(44&lt;=18,'前提'!$B$87,IF(44&lt;=24,'前提'!$B$88,IF(44&lt;=36,'前提'!$B$89,IF(44&lt;=48,'前提'!$B$90,'前提'!$B$91)))))))))+(IF(44&lt;=6,'前提'!$B$94,IF(44&lt;=12,'前提'!$B$95,IF(44&lt;=18,'前提'!$B$96,IF(44&lt;=24,'前提'!$B$97,IF(44&lt;=36,'前提'!$B$98,IF(44&lt;=48,'前提'!$B$99,'前提'!$B$100)))))))+IF(44&gt;=7,CEILING(AS14/'前提'!$B$29,1),0)+IF(44&gt;=7,CEILING(AS14/'前提'!$B$30,1),0)+IF(44&gt;=7,CEILING(AS10/'前提'!$B$31,1),0))*'前提'!$B$44</f>
        <v/>
      </c>
      <c r="AT39" s="5">
        <f>(1+IF(45&lt;=6,'前提'!$B$36/160,IF(45&lt;=12,'前提'!$B$37/160,(IF(45&lt;=6,'前提'!$B$85,IF(45&lt;=12,'前提'!$B$86,IF(45&lt;=18,'前提'!$B$87,IF(45&lt;=24,'前提'!$B$88,IF(45&lt;=36,'前提'!$B$89,IF(45&lt;=48,'前提'!$B$90,'前提'!$B$91)))))))))+(IF(45&lt;=6,'前提'!$B$94,IF(45&lt;=12,'前提'!$B$95,IF(45&lt;=18,'前提'!$B$96,IF(45&lt;=24,'前提'!$B$97,IF(45&lt;=36,'前提'!$B$98,IF(45&lt;=48,'前提'!$B$99,'前提'!$B$100)))))))+IF(45&gt;=7,CEILING(AT14/'前提'!$B$29,1),0)+IF(45&gt;=7,CEILING(AT14/'前提'!$B$30,1),0)+IF(45&gt;=7,CEILING(AT10/'前提'!$B$31,1),0))*'前提'!$B$44</f>
        <v/>
      </c>
      <c r="AU39" s="5">
        <f>(1+IF(46&lt;=6,'前提'!$B$36/160,IF(46&lt;=12,'前提'!$B$37/160,(IF(46&lt;=6,'前提'!$B$85,IF(46&lt;=12,'前提'!$B$86,IF(46&lt;=18,'前提'!$B$87,IF(46&lt;=24,'前提'!$B$88,IF(46&lt;=36,'前提'!$B$89,IF(46&lt;=48,'前提'!$B$90,'前提'!$B$91)))))))))+(IF(46&lt;=6,'前提'!$B$94,IF(46&lt;=12,'前提'!$B$95,IF(46&lt;=18,'前提'!$B$96,IF(46&lt;=24,'前提'!$B$97,IF(46&lt;=36,'前提'!$B$98,IF(46&lt;=48,'前提'!$B$99,'前提'!$B$100)))))))+IF(46&gt;=7,CEILING(AU14/'前提'!$B$29,1),0)+IF(46&gt;=7,CEILING(AU14/'前提'!$B$30,1),0)+IF(46&gt;=7,CEILING(AU10/'前提'!$B$31,1),0))*'前提'!$B$44</f>
        <v/>
      </c>
      <c r="AV39" s="5">
        <f>(1+IF(47&lt;=6,'前提'!$B$36/160,IF(47&lt;=12,'前提'!$B$37/160,(IF(47&lt;=6,'前提'!$B$85,IF(47&lt;=12,'前提'!$B$86,IF(47&lt;=18,'前提'!$B$87,IF(47&lt;=24,'前提'!$B$88,IF(47&lt;=36,'前提'!$B$89,IF(47&lt;=48,'前提'!$B$90,'前提'!$B$91)))))))))+(IF(47&lt;=6,'前提'!$B$94,IF(47&lt;=12,'前提'!$B$95,IF(47&lt;=18,'前提'!$B$96,IF(47&lt;=24,'前提'!$B$97,IF(47&lt;=36,'前提'!$B$98,IF(47&lt;=48,'前提'!$B$99,'前提'!$B$100)))))))+IF(47&gt;=7,CEILING(AV14/'前提'!$B$29,1),0)+IF(47&gt;=7,CEILING(AV14/'前提'!$B$30,1),0)+IF(47&gt;=7,CEILING(AV10/'前提'!$B$31,1),0))*'前提'!$B$44</f>
        <v/>
      </c>
      <c r="AW39" s="5">
        <f>(1+IF(48&lt;=6,'前提'!$B$36/160,IF(48&lt;=12,'前提'!$B$37/160,(IF(48&lt;=6,'前提'!$B$85,IF(48&lt;=12,'前提'!$B$86,IF(48&lt;=18,'前提'!$B$87,IF(48&lt;=24,'前提'!$B$88,IF(48&lt;=36,'前提'!$B$89,IF(48&lt;=48,'前提'!$B$90,'前提'!$B$91)))))))))+(IF(48&lt;=6,'前提'!$B$94,IF(48&lt;=12,'前提'!$B$95,IF(48&lt;=18,'前提'!$B$96,IF(48&lt;=24,'前提'!$B$97,IF(48&lt;=36,'前提'!$B$98,IF(48&lt;=48,'前提'!$B$99,'前提'!$B$100)))))))+IF(48&gt;=7,CEILING(AW14/'前提'!$B$29,1),0)+IF(48&gt;=7,CEILING(AW14/'前提'!$B$30,1),0)+IF(48&gt;=7,CEILING(AW10/'前提'!$B$31,1),0))*'前提'!$B$44</f>
        <v/>
      </c>
      <c r="AX39" s="5">
        <f>(1+IF(49&lt;=6,'前提'!$B$36/160,IF(49&lt;=12,'前提'!$B$37/160,(IF(49&lt;=6,'前提'!$B$85,IF(49&lt;=12,'前提'!$B$86,IF(49&lt;=18,'前提'!$B$87,IF(49&lt;=24,'前提'!$B$88,IF(49&lt;=36,'前提'!$B$89,IF(49&lt;=48,'前提'!$B$90,'前提'!$B$91)))))))))+(IF(49&lt;=6,'前提'!$B$94,IF(49&lt;=12,'前提'!$B$95,IF(49&lt;=18,'前提'!$B$96,IF(49&lt;=24,'前提'!$B$97,IF(49&lt;=36,'前提'!$B$98,IF(49&lt;=48,'前提'!$B$99,'前提'!$B$100)))))))+IF(49&gt;=7,CEILING(AX14/'前提'!$B$29,1),0)+IF(49&gt;=7,CEILING(AX14/'前提'!$B$30,1),0)+IF(49&gt;=7,CEILING(AX10/'前提'!$B$31,1),0))*'前提'!$B$44</f>
        <v/>
      </c>
      <c r="AY39" s="5">
        <f>(1+IF(50&lt;=6,'前提'!$B$36/160,IF(50&lt;=12,'前提'!$B$37/160,(IF(50&lt;=6,'前提'!$B$85,IF(50&lt;=12,'前提'!$B$86,IF(50&lt;=18,'前提'!$B$87,IF(50&lt;=24,'前提'!$B$88,IF(50&lt;=36,'前提'!$B$89,IF(50&lt;=48,'前提'!$B$90,'前提'!$B$91)))))))))+(IF(50&lt;=6,'前提'!$B$94,IF(50&lt;=12,'前提'!$B$95,IF(50&lt;=18,'前提'!$B$96,IF(50&lt;=24,'前提'!$B$97,IF(50&lt;=36,'前提'!$B$98,IF(50&lt;=48,'前提'!$B$99,'前提'!$B$100)))))))+IF(50&gt;=7,CEILING(AY14/'前提'!$B$29,1),0)+IF(50&gt;=7,CEILING(AY14/'前提'!$B$30,1),0)+IF(50&gt;=7,CEILING(AY10/'前提'!$B$31,1),0))*'前提'!$B$44</f>
        <v/>
      </c>
      <c r="AZ39" s="5">
        <f>(1+IF(51&lt;=6,'前提'!$B$36/160,IF(51&lt;=12,'前提'!$B$37/160,(IF(51&lt;=6,'前提'!$B$85,IF(51&lt;=12,'前提'!$B$86,IF(51&lt;=18,'前提'!$B$87,IF(51&lt;=24,'前提'!$B$88,IF(51&lt;=36,'前提'!$B$89,IF(51&lt;=48,'前提'!$B$90,'前提'!$B$91)))))))))+(IF(51&lt;=6,'前提'!$B$94,IF(51&lt;=12,'前提'!$B$95,IF(51&lt;=18,'前提'!$B$96,IF(51&lt;=24,'前提'!$B$97,IF(51&lt;=36,'前提'!$B$98,IF(51&lt;=48,'前提'!$B$99,'前提'!$B$100)))))))+IF(51&gt;=7,CEILING(AZ14/'前提'!$B$29,1),0)+IF(51&gt;=7,CEILING(AZ14/'前提'!$B$30,1),0)+IF(51&gt;=7,CEILING(AZ10/'前提'!$B$31,1),0))*'前提'!$B$44</f>
        <v/>
      </c>
      <c r="BA39" s="5">
        <f>(1+IF(52&lt;=6,'前提'!$B$36/160,IF(52&lt;=12,'前提'!$B$37/160,(IF(52&lt;=6,'前提'!$B$85,IF(52&lt;=12,'前提'!$B$86,IF(52&lt;=18,'前提'!$B$87,IF(52&lt;=24,'前提'!$B$88,IF(52&lt;=36,'前提'!$B$89,IF(52&lt;=48,'前提'!$B$90,'前提'!$B$91)))))))))+(IF(52&lt;=6,'前提'!$B$94,IF(52&lt;=12,'前提'!$B$95,IF(52&lt;=18,'前提'!$B$96,IF(52&lt;=24,'前提'!$B$97,IF(52&lt;=36,'前提'!$B$98,IF(52&lt;=48,'前提'!$B$99,'前提'!$B$100)))))))+IF(52&gt;=7,CEILING(BA14/'前提'!$B$29,1),0)+IF(52&gt;=7,CEILING(BA14/'前提'!$B$30,1),0)+IF(52&gt;=7,CEILING(BA10/'前提'!$B$31,1),0))*'前提'!$B$44</f>
        <v/>
      </c>
      <c r="BB39" s="5">
        <f>(1+IF(53&lt;=6,'前提'!$B$36/160,IF(53&lt;=12,'前提'!$B$37/160,(IF(53&lt;=6,'前提'!$B$85,IF(53&lt;=12,'前提'!$B$86,IF(53&lt;=18,'前提'!$B$87,IF(53&lt;=24,'前提'!$B$88,IF(53&lt;=36,'前提'!$B$89,IF(53&lt;=48,'前提'!$B$90,'前提'!$B$91)))))))))+(IF(53&lt;=6,'前提'!$B$94,IF(53&lt;=12,'前提'!$B$95,IF(53&lt;=18,'前提'!$B$96,IF(53&lt;=24,'前提'!$B$97,IF(53&lt;=36,'前提'!$B$98,IF(53&lt;=48,'前提'!$B$99,'前提'!$B$100)))))))+IF(53&gt;=7,CEILING(BB14/'前提'!$B$29,1),0)+IF(53&gt;=7,CEILING(BB14/'前提'!$B$30,1),0)+IF(53&gt;=7,CEILING(BB10/'前提'!$B$31,1),0))*'前提'!$B$44</f>
        <v/>
      </c>
      <c r="BC39" s="5">
        <f>(1+IF(54&lt;=6,'前提'!$B$36/160,IF(54&lt;=12,'前提'!$B$37/160,(IF(54&lt;=6,'前提'!$B$85,IF(54&lt;=12,'前提'!$B$86,IF(54&lt;=18,'前提'!$B$87,IF(54&lt;=24,'前提'!$B$88,IF(54&lt;=36,'前提'!$B$89,IF(54&lt;=48,'前提'!$B$90,'前提'!$B$91)))))))))+(IF(54&lt;=6,'前提'!$B$94,IF(54&lt;=12,'前提'!$B$95,IF(54&lt;=18,'前提'!$B$96,IF(54&lt;=24,'前提'!$B$97,IF(54&lt;=36,'前提'!$B$98,IF(54&lt;=48,'前提'!$B$99,'前提'!$B$100)))))))+IF(54&gt;=7,CEILING(BC14/'前提'!$B$29,1),0)+IF(54&gt;=7,CEILING(BC14/'前提'!$B$30,1),0)+IF(54&gt;=7,CEILING(BC10/'前提'!$B$31,1),0))*'前提'!$B$44</f>
        <v/>
      </c>
      <c r="BD39" s="5">
        <f>(1+IF(55&lt;=6,'前提'!$B$36/160,IF(55&lt;=12,'前提'!$B$37/160,(IF(55&lt;=6,'前提'!$B$85,IF(55&lt;=12,'前提'!$B$86,IF(55&lt;=18,'前提'!$B$87,IF(55&lt;=24,'前提'!$B$88,IF(55&lt;=36,'前提'!$B$89,IF(55&lt;=48,'前提'!$B$90,'前提'!$B$91)))))))))+(IF(55&lt;=6,'前提'!$B$94,IF(55&lt;=12,'前提'!$B$95,IF(55&lt;=18,'前提'!$B$96,IF(55&lt;=24,'前提'!$B$97,IF(55&lt;=36,'前提'!$B$98,IF(55&lt;=48,'前提'!$B$99,'前提'!$B$100)))))))+IF(55&gt;=7,CEILING(BD14/'前提'!$B$29,1),0)+IF(55&gt;=7,CEILING(BD14/'前提'!$B$30,1),0)+IF(55&gt;=7,CEILING(BD10/'前提'!$B$31,1),0))*'前提'!$B$44</f>
        <v/>
      </c>
      <c r="BE39" s="5">
        <f>(1+IF(56&lt;=6,'前提'!$B$36/160,IF(56&lt;=12,'前提'!$B$37/160,(IF(56&lt;=6,'前提'!$B$85,IF(56&lt;=12,'前提'!$B$86,IF(56&lt;=18,'前提'!$B$87,IF(56&lt;=24,'前提'!$B$88,IF(56&lt;=36,'前提'!$B$89,IF(56&lt;=48,'前提'!$B$90,'前提'!$B$91)))))))))+(IF(56&lt;=6,'前提'!$B$94,IF(56&lt;=12,'前提'!$B$95,IF(56&lt;=18,'前提'!$B$96,IF(56&lt;=24,'前提'!$B$97,IF(56&lt;=36,'前提'!$B$98,IF(56&lt;=48,'前提'!$B$99,'前提'!$B$100)))))))+IF(56&gt;=7,CEILING(BE14/'前提'!$B$29,1),0)+IF(56&gt;=7,CEILING(BE14/'前提'!$B$30,1),0)+IF(56&gt;=7,CEILING(BE10/'前提'!$B$31,1),0))*'前提'!$B$44</f>
        <v/>
      </c>
      <c r="BF39" s="5">
        <f>(1+IF(57&lt;=6,'前提'!$B$36/160,IF(57&lt;=12,'前提'!$B$37/160,(IF(57&lt;=6,'前提'!$B$85,IF(57&lt;=12,'前提'!$B$86,IF(57&lt;=18,'前提'!$B$87,IF(57&lt;=24,'前提'!$B$88,IF(57&lt;=36,'前提'!$B$89,IF(57&lt;=48,'前提'!$B$90,'前提'!$B$91)))))))))+(IF(57&lt;=6,'前提'!$B$94,IF(57&lt;=12,'前提'!$B$95,IF(57&lt;=18,'前提'!$B$96,IF(57&lt;=24,'前提'!$B$97,IF(57&lt;=36,'前提'!$B$98,IF(57&lt;=48,'前提'!$B$99,'前提'!$B$100)))))))+IF(57&gt;=7,CEILING(BF14/'前提'!$B$29,1),0)+IF(57&gt;=7,CEILING(BF14/'前提'!$B$30,1),0)+IF(57&gt;=7,CEILING(BF10/'前提'!$B$31,1),0))*'前提'!$B$44</f>
        <v/>
      </c>
      <c r="BG39" s="5">
        <f>(1+IF(58&lt;=6,'前提'!$B$36/160,IF(58&lt;=12,'前提'!$B$37/160,(IF(58&lt;=6,'前提'!$B$85,IF(58&lt;=12,'前提'!$B$86,IF(58&lt;=18,'前提'!$B$87,IF(58&lt;=24,'前提'!$B$88,IF(58&lt;=36,'前提'!$B$89,IF(58&lt;=48,'前提'!$B$90,'前提'!$B$91)))))))))+(IF(58&lt;=6,'前提'!$B$94,IF(58&lt;=12,'前提'!$B$95,IF(58&lt;=18,'前提'!$B$96,IF(58&lt;=24,'前提'!$B$97,IF(58&lt;=36,'前提'!$B$98,IF(58&lt;=48,'前提'!$B$99,'前提'!$B$100)))))))+IF(58&gt;=7,CEILING(BG14/'前提'!$B$29,1),0)+IF(58&gt;=7,CEILING(BG14/'前提'!$B$30,1),0)+IF(58&gt;=7,CEILING(BG10/'前提'!$B$31,1),0))*'前提'!$B$44</f>
        <v/>
      </c>
      <c r="BH39" s="5">
        <f>(1+IF(59&lt;=6,'前提'!$B$36/160,IF(59&lt;=12,'前提'!$B$37/160,(IF(59&lt;=6,'前提'!$B$85,IF(59&lt;=12,'前提'!$B$86,IF(59&lt;=18,'前提'!$B$87,IF(59&lt;=24,'前提'!$B$88,IF(59&lt;=36,'前提'!$B$89,IF(59&lt;=48,'前提'!$B$90,'前提'!$B$91)))))))))+(IF(59&lt;=6,'前提'!$B$94,IF(59&lt;=12,'前提'!$B$95,IF(59&lt;=18,'前提'!$B$96,IF(59&lt;=24,'前提'!$B$97,IF(59&lt;=36,'前提'!$B$98,IF(59&lt;=48,'前提'!$B$99,'前提'!$B$100)))))))+IF(59&gt;=7,CEILING(BH14/'前提'!$B$29,1),0)+IF(59&gt;=7,CEILING(BH14/'前提'!$B$30,1),0)+IF(59&gt;=7,CEILING(BH10/'前提'!$B$31,1),0))*'前提'!$B$44</f>
        <v/>
      </c>
      <c r="BI39" s="5">
        <f>(1+IF(60&lt;=6,'前提'!$B$36/160,IF(60&lt;=12,'前提'!$B$37/160,(IF(60&lt;=6,'前提'!$B$85,IF(60&lt;=12,'前提'!$B$86,IF(60&lt;=18,'前提'!$B$87,IF(60&lt;=24,'前提'!$B$88,IF(60&lt;=36,'前提'!$B$89,IF(60&lt;=48,'前提'!$B$90,'前提'!$B$91)))))))))+(IF(60&lt;=6,'前提'!$B$94,IF(60&lt;=12,'前提'!$B$95,IF(60&lt;=18,'前提'!$B$96,IF(60&lt;=24,'前提'!$B$97,IF(60&lt;=36,'前提'!$B$98,IF(60&lt;=48,'前提'!$B$99,'前提'!$B$100)))))))+IF(60&gt;=7,CEILING(BI14/'前提'!$B$29,1),0)+IF(60&gt;=7,CEILING(BI14/'前提'!$B$30,1),0)+IF(60&gt;=7,CEILING(BI10/'前提'!$B$31,1),0))*'前提'!$B$44</f>
        <v/>
      </c>
    </row>
    <row r="40">
      <c r="A40" t="inlineStr">
        <is>
          <t>人件費合計</t>
        </is>
      </c>
      <c r="B40" s="5">
        <f>SUM(B32:B39)</f>
        <v/>
      </c>
      <c r="C40" s="5">
        <f>SUM(C32:C39)</f>
        <v/>
      </c>
      <c r="D40" s="5">
        <f>SUM(D32:D39)</f>
        <v/>
      </c>
      <c r="E40" s="5">
        <f>SUM(E32:E39)</f>
        <v/>
      </c>
      <c r="F40" s="5">
        <f>SUM(F32:F39)</f>
        <v/>
      </c>
      <c r="G40" s="5">
        <f>SUM(G32:G39)</f>
        <v/>
      </c>
      <c r="H40" s="5">
        <f>SUM(H32:H39)</f>
        <v/>
      </c>
      <c r="I40" s="5">
        <f>SUM(I32:I39)</f>
        <v/>
      </c>
      <c r="J40" s="5">
        <f>SUM(J32:J39)</f>
        <v/>
      </c>
      <c r="K40" s="5">
        <f>SUM(K32:K39)</f>
        <v/>
      </c>
      <c r="L40" s="5">
        <f>SUM(L32:L39)</f>
        <v/>
      </c>
      <c r="M40" s="5">
        <f>SUM(M32:M39)</f>
        <v/>
      </c>
      <c r="N40" s="5">
        <f>SUM(N32:N39)</f>
        <v/>
      </c>
      <c r="O40" s="5">
        <f>SUM(O32:O39)</f>
        <v/>
      </c>
      <c r="P40" s="5">
        <f>SUM(P32:P39)</f>
        <v/>
      </c>
      <c r="Q40" s="5">
        <f>SUM(Q32:Q39)</f>
        <v/>
      </c>
      <c r="R40" s="5">
        <f>SUM(R32:R39)</f>
        <v/>
      </c>
      <c r="S40" s="5">
        <f>SUM(S32:S39)</f>
        <v/>
      </c>
      <c r="T40" s="5">
        <f>SUM(T32:T39)</f>
        <v/>
      </c>
      <c r="U40" s="5">
        <f>SUM(U32:U39)</f>
        <v/>
      </c>
      <c r="V40" s="5">
        <f>SUM(V32:V39)</f>
        <v/>
      </c>
      <c r="W40" s="5">
        <f>SUM(W32:W39)</f>
        <v/>
      </c>
      <c r="X40" s="5">
        <f>SUM(X32:X39)</f>
        <v/>
      </c>
      <c r="Y40" s="5">
        <f>SUM(Y32:Y39)</f>
        <v/>
      </c>
      <c r="Z40" s="5">
        <f>SUM(Z32:Z39)</f>
        <v/>
      </c>
      <c r="AA40" s="5">
        <f>SUM(AA32:AA39)</f>
        <v/>
      </c>
      <c r="AB40" s="5">
        <f>SUM(AB32:AB39)</f>
        <v/>
      </c>
      <c r="AC40" s="5">
        <f>SUM(AC32:AC39)</f>
        <v/>
      </c>
      <c r="AD40" s="5">
        <f>SUM(AD32:AD39)</f>
        <v/>
      </c>
      <c r="AE40" s="5">
        <f>SUM(AE32:AE39)</f>
        <v/>
      </c>
      <c r="AF40" s="5">
        <f>SUM(AF32:AF39)</f>
        <v/>
      </c>
      <c r="AG40" s="5">
        <f>SUM(AG32:AG39)</f>
        <v/>
      </c>
      <c r="AH40" s="5">
        <f>SUM(AH32:AH39)</f>
        <v/>
      </c>
      <c r="AI40" s="5">
        <f>SUM(AI32:AI39)</f>
        <v/>
      </c>
      <c r="AJ40" s="5">
        <f>SUM(AJ32:AJ39)</f>
        <v/>
      </c>
      <c r="AK40" s="5">
        <f>SUM(AK32:AK39)</f>
        <v/>
      </c>
      <c r="AL40" s="5">
        <f>SUM(AL32:AL39)</f>
        <v/>
      </c>
      <c r="AM40" s="5">
        <f>SUM(AM32:AM39)</f>
        <v/>
      </c>
      <c r="AN40" s="5">
        <f>SUM(AN32:AN39)</f>
        <v/>
      </c>
      <c r="AO40" s="5">
        <f>SUM(AO32:AO39)</f>
        <v/>
      </c>
      <c r="AP40" s="5">
        <f>SUM(AP32:AP39)</f>
        <v/>
      </c>
      <c r="AQ40" s="5">
        <f>SUM(AQ32:AQ39)</f>
        <v/>
      </c>
      <c r="AR40" s="5">
        <f>SUM(AR32:AR39)</f>
        <v/>
      </c>
      <c r="AS40" s="5">
        <f>SUM(AS32:AS39)</f>
        <v/>
      </c>
      <c r="AT40" s="5">
        <f>SUM(AT32:AT39)</f>
        <v/>
      </c>
      <c r="AU40" s="5">
        <f>SUM(AU32:AU39)</f>
        <v/>
      </c>
      <c r="AV40" s="5">
        <f>SUM(AV32:AV39)</f>
        <v/>
      </c>
      <c r="AW40" s="5">
        <f>SUM(AW32:AW39)</f>
        <v/>
      </c>
      <c r="AX40" s="5">
        <f>SUM(AX32:AX39)</f>
        <v/>
      </c>
      <c r="AY40" s="5">
        <f>SUM(AY32:AY39)</f>
        <v/>
      </c>
      <c r="AZ40" s="5">
        <f>SUM(AZ32:AZ39)</f>
        <v/>
      </c>
      <c r="BA40" s="5">
        <f>SUM(BA32:BA39)</f>
        <v/>
      </c>
      <c r="BB40" s="5">
        <f>SUM(BB32:BB39)</f>
        <v/>
      </c>
      <c r="BC40" s="5">
        <f>SUM(BC32:BC39)</f>
        <v/>
      </c>
      <c r="BD40" s="5">
        <f>SUM(BD32:BD39)</f>
        <v/>
      </c>
      <c r="BE40" s="5">
        <f>SUM(BE32:BE39)</f>
        <v/>
      </c>
      <c r="BF40" s="5">
        <f>SUM(BF32:BF39)</f>
        <v/>
      </c>
      <c r="BG40" s="5">
        <f>SUM(BG32:BG39)</f>
        <v/>
      </c>
      <c r="BH40" s="5">
        <f>SUM(BH32:BH39)</f>
        <v/>
      </c>
      <c r="BI40" s="5">
        <f>SUM(BI32:BI39)</f>
        <v/>
      </c>
    </row>
    <row r="42">
      <c r="A42" s="16" t="inlineStr">
        <is>
          <t>【固定費・販管費】</t>
        </is>
      </c>
    </row>
    <row r="43">
      <c r="A43" t="inlineStr">
        <is>
          <t>オフィス家賃</t>
        </is>
      </c>
      <c r="B43" s="5">
        <f>IF(1&lt;=18,'前提'!$B$47,'前提'!$B$48)</f>
        <v/>
      </c>
      <c r="C43" s="5">
        <f>IF(2&lt;=18,'前提'!$B$47,'前提'!$B$48)</f>
        <v/>
      </c>
      <c r="D43" s="5">
        <f>IF(3&lt;=18,'前提'!$B$47,'前提'!$B$48)</f>
        <v/>
      </c>
      <c r="E43" s="5">
        <f>IF(4&lt;=18,'前提'!$B$47,'前提'!$B$48)</f>
        <v/>
      </c>
      <c r="F43" s="5">
        <f>IF(5&lt;=18,'前提'!$B$47,'前提'!$B$48)</f>
        <v/>
      </c>
      <c r="G43" s="5">
        <f>IF(6&lt;=18,'前提'!$B$47,'前提'!$B$48)</f>
        <v/>
      </c>
      <c r="H43" s="5">
        <f>IF(7&lt;=18,'前提'!$B$47,'前提'!$B$48)</f>
        <v/>
      </c>
      <c r="I43" s="5">
        <f>IF(8&lt;=18,'前提'!$B$47,'前提'!$B$48)</f>
        <v/>
      </c>
      <c r="J43" s="5">
        <f>IF(9&lt;=18,'前提'!$B$47,'前提'!$B$48)</f>
        <v/>
      </c>
      <c r="K43" s="5">
        <f>IF(10&lt;=18,'前提'!$B$47,'前提'!$B$48)</f>
        <v/>
      </c>
      <c r="L43" s="5">
        <f>IF(11&lt;=18,'前提'!$B$47,'前提'!$B$48)</f>
        <v/>
      </c>
      <c r="M43" s="5">
        <f>IF(12&lt;=18,'前提'!$B$47,'前提'!$B$48)</f>
        <v/>
      </c>
      <c r="N43" s="5">
        <f>IF(13&lt;=18,'前提'!$B$47,'前提'!$B$48)</f>
        <v/>
      </c>
      <c r="O43" s="5">
        <f>IF(14&lt;=18,'前提'!$B$47,'前提'!$B$48)</f>
        <v/>
      </c>
      <c r="P43" s="5">
        <f>IF(15&lt;=18,'前提'!$B$47,'前提'!$B$48)</f>
        <v/>
      </c>
      <c r="Q43" s="5">
        <f>IF(16&lt;=18,'前提'!$B$47,'前提'!$B$48)</f>
        <v/>
      </c>
      <c r="R43" s="5">
        <f>IF(17&lt;=18,'前提'!$B$47,'前提'!$B$48)</f>
        <v/>
      </c>
      <c r="S43" s="5">
        <f>IF(18&lt;=18,'前提'!$B$47,'前提'!$B$48)</f>
        <v/>
      </c>
      <c r="T43" s="5">
        <f>IF(19&lt;=18,'前提'!$B$47,'前提'!$B$48)</f>
        <v/>
      </c>
      <c r="U43" s="5">
        <f>IF(20&lt;=18,'前提'!$B$47,'前提'!$B$48)</f>
        <v/>
      </c>
      <c r="V43" s="5">
        <f>IF(21&lt;=18,'前提'!$B$47,'前提'!$B$48)</f>
        <v/>
      </c>
      <c r="W43" s="5">
        <f>IF(22&lt;=18,'前提'!$B$47,'前提'!$B$48)</f>
        <v/>
      </c>
      <c r="X43" s="5">
        <f>IF(23&lt;=18,'前提'!$B$47,'前提'!$B$48)</f>
        <v/>
      </c>
      <c r="Y43" s="5">
        <f>IF(24&lt;=18,'前提'!$B$47,'前提'!$B$48)</f>
        <v/>
      </c>
      <c r="Z43" s="5">
        <f>IF(25&lt;=18,'前提'!$B$47,'前提'!$B$48)</f>
        <v/>
      </c>
      <c r="AA43" s="5">
        <f>IF(26&lt;=18,'前提'!$B$47,'前提'!$B$48)</f>
        <v/>
      </c>
      <c r="AB43" s="5">
        <f>IF(27&lt;=18,'前提'!$B$47,'前提'!$B$48)</f>
        <v/>
      </c>
      <c r="AC43" s="5">
        <f>IF(28&lt;=18,'前提'!$B$47,'前提'!$B$48)</f>
        <v/>
      </c>
      <c r="AD43" s="5">
        <f>IF(29&lt;=18,'前提'!$B$47,'前提'!$B$48)</f>
        <v/>
      </c>
      <c r="AE43" s="5">
        <f>IF(30&lt;=18,'前提'!$B$47,'前提'!$B$48)</f>
        <v/>
      </c>
      <c r="AF43" s="5">
        <f>IF(31&lt;=18,'前提'!$B$47,'前提'!$B$48)</f>
        <v/>
      </c>
      <c r="AG43" s="5">
        <f>IF(32&lt;=18,'前提'!$B$47,'前提'!$B$48)</f>
        <v/>
      </c>
      <c r="AH43" s="5">
        <f>IF(33&lt;=18,'前提'!$B$47,'前提'!$B$48)</f>
        <v/>
      </c>
      <c r="AI43" s="5">
        <f>IF(34&lt;=18,'前提'!$B$47,'前提'!$B$48)</f>
        <v/>
      </c>
      <c r="AJ43" s="5">
        <f>IF(35&lt;=18,'前提'!$B$47,'前提'!$B$48)</f>
        <v/>
      </c>
      <c r="AK43" s="5">
        <f>IF(36&lt;=18,'前提'!$B$47,'前提'!$B$48)</f>
        <v/>
      </c>
      <c r="AL43" s="5">
        <f>IF(37&lt;=18,'前提'!$B$47,'前提'!$B$48)</f>
        <v/>
      </c>
      <c r="AM43" s="5">
        <f>IF(38&lt;=18,'前提'!$B$47,'前提'!$B$48)</f>
        <v/>
      </c>
      <c r="AN43" s="5">
        <f>IF(39&lt;=18,'前提'!$B$47,'前提'!$B$48)</f>
        <v/>
      </c>
      <c r="AO43" s="5">
        <f>IF(40&lt;=18,'前提'!$B$47,'前提'!$B$48)</f>
        <v/>
      </c>
      <c r="AP43" s="5">
        <f>IF(41&lt;=18,'前提'!$B$47,'前提'!$B$48)</f>
        <v/>
      </c>
      <c r="AQ43" s="5">
        <f>IF(42&lt;=18,'前提'!$B$47,'前提'!$B$48)</f>
        <v/>
      </c>
      <c r="AR43" s="5">
        <f>IF(43&lt;=18,'前提'!$B$47,'前提'!$B$48)</f>
        <v/>
      </c>
      <c r="AS43" s="5">
        <f>IF(44&lt;=18,'前提'!$B$47,'前提'!$B$48)</f>
        <v/>
      </c>
      <c r="AT43" s="5">
        <f>IF(45&lt;=18,'前提'!$B$47,'前提'!$B$48)</f>
        <v/>
      </c>
      <c r="AU43" s="5">
        <f>IF(46&lt;=18,'前提'!$B$47,'前提'!$B$48)</f>
        <v/>
      </c>
      <c r="AV43" s="5">
        <f>IF(47&lt;=18,'前提'!$B$47,'前提'!$B$48)</f>
        <v/>
      </c>
      <c r="AW43" s="5">
        <f>IF(48&lt;=18,'前提'!$B$47,'前提'!$B$48)</f>
        <v/>
      </c>
      <c r="AX43" s="5">
        <f>IF(49&lt;=18,'前提'!$B$47,'前提'!$B$48)</f>
        <v/>
      </c>
      <c r="AY43" s="5">
        <f>IF(50&lt;=18,'前提'!$B$47,'前提'!$B$48)</f>
        <v/>
      </c>
      <c r="AZ43" s="5">
        <f>IF(51&lt;=18,'前提'!$B$47,'前提'!$B$48)</f>
        <v/>
      </c>
      <c r="BA43" s="5">
        <f>IF(52&lt;=18,'前提'!$B$47,'前提'!$B$48)</f>
        <v/>
      </c>
      <c r="BB43" s="5">
        <f>IF(53&lt;=18,'前提'!$B$47,'前提'!$B$48)</f>
        <v/>
      </c>
      <c r="BC43" s="5">
        <f>IF(54&lt;=18,'前提'!$B$47,'前提'!$B$48)</f>
        <v/>
      </c>
      <c r="BD43" s="5">
        <f>IF(55&lt;=18,'前提'!$B$47,'前提'!$B$48)</f>
        <v/>
      </c>
      <c r="BE43" s="5">
        <f>IF(56&lt;=18,'前提'!$B$47,'前提'!$B$48)</f>
        <v/>
      </c>
      <c r="BF43" s="5">
        <f>IF(57&lt;=18,'前提'!$B$47,'前提'!$B$48)</f>
        <v/>
      </c>
      <c r="BG43" s="5">
        <f>IF(58&lt;=18,'前提'!$B$47,'前提'!$B$48)</f>
        <v/>
      </c>
      <c r="BH43" s="5">
        <f>IF(59&lt;=18,'前提'!$B$47,'前提'!$B$48)</f>
        <v/>
      </c>
      <c r="BI43" s="5">
        <f>IF(60&lt;=18,'前提'!$B$47,'前提'!$B$48)</f>
        <v/>
      </c>
    </row>
    <row r="44">
      <c r="A44" t="inlineStr">
        <is>
          <t>SaaS費用（人員連動）</t>
        </is>
      </c>
      <c r="B44" s="5">
        <f>(1+IF(1&lt;=6,'前提'!$B$36/160,IF(1&lt;=12,'前提'!$B$37/160,(IF(1&lt;=6,'前提'!$B$85,IF(1&lt;=12,'前提'!$B$86,IF(1&lt;=18,'前提'!$B$87,IF(1&lt;=24,'前提'!$B$88,IF(1&lt;=36,'前提'!$B$89,IF(1&lt;=48,'前提'!$B$90,'前提'!$B$91)))))))))+(IF(1&lt;=6,'前提'!$B$94,IF(1&lt;=12,'前提'!$B$95,IF(1&lt;=18,'前提'!$B$96,IF(1&lt;=24,'前提'!$B$97,IF(1&lt;=36,'前提'!$B$98,IF(1&lt;=48,'前提'!$B$99,'前提'!$B$100)))))))+IF(1&gt;=7,CEILING(B14/'前提'!$B$29,1),0)+IF(1&gt;=7,CEILING(B14/'前提'!$B$30,1),0)+IF(1&gt;=7,CEILING(B10/'前提'!$B$31,1),0))*'前提'!$B$49</f>
        <v/>
      </c>
      <c r="C44" s="5">
        <f>(1+IF(2&lt;=6,'前提'!$B$36/160,IF(2&lt;=12,'前提'!$B$37/160,(IF(2&lt;=6,'前提'!$B$85,IF(2&lt;=12,'前提'!$B$86,IF(2&lt;=18,'前提'!$B$87,IF(2&lt;=24,'前提'!$B$88,IF(2&lt;=36,'前提'!$B$89,IF(2&lt;=48,'前提'!$B$90,'前提'!$B$91)))))))))+(IF(2&lt;=6,'前提'!$B$94,IF(2&lt;=12,'前提'!$B$95,IF(2&lt;=18,'前提'!$B$96,IF(2&lt;=24,'前提'!$B$97,IF(2&lt;=36,'前提'!$B$98,IF(2&lt;=48,'前提'!$B$99,'前提'!$B$100)))))))+IF(2&gt;=7,CEILING(C14/'前提'!$B$29,1),0)+IF(2&gt;=7,CEILING(C14/'前提'!$B$30,1),0)+IF(2&gt;=7,CEILING(C10/'前提'!$B$31,1),0))*'前提'!$B$49</f>
        <v/>
      </c>
      <c r="D44" s="5">
        <f>(1+IF(3&lt;=6,'前提'!$B$36/160,IF(3&lt;=12,'前提'!$B$37/160,(IF(3&lt;=6,'前提'!$B$85,IF(3&lt;=12,'前提'!$B$86,IF(3&lt;=18,'前提'!$B$87,IF(3&lt;=24,'前提'!$B$88,IF(3&lt;=36,'前提'!$B$89,IF(3&lt;=48,'前提'!$B$90,'前提'!$B$91)))))))))+(IF(3&lt;=6,'前提'!$B$94,IF(3&lt;=12,'前提'!$B$95,IF(3&lt;=18,'前提'!$B$96,IF(3&lt;=24,'前提'!$B$97,IF(3&lt;=36,'前提'!$B$98,IF(3&lt;=48,'前提'!$B$99,'前提'!$B$100)))))))+IF(3&gt;=7,CEILING(D14/'前提'!$B$29,1),0)+IF(3&gt;=7,CEILING(D14/'前提'!$B$30,1),0)+IF(3&gt;=7,CEILING(D10/'前提'!$B$31,1),0))*'前提'!$B$49</f>
        <v/>
      </c>
      <c r="E44" s="5">
        <f>(1+IF(4&lt;=6,'前提'!$B$36/160,IF(4&lt;=12,'前提'!$B$37/160,(IF(4&lt;=6,'前提'!$B$85,IF(4&lt;=12,'前提'!$B$86,IF(4&lt;=18,'前提'!$B$87,IF(4&lt;=24,'前提'!$B$88,IF(4&lt;=36,'前提'!$B$89,IF(4&lt;=48,'前提'!$B$90,'前提'!$B$91)))))))))+(IF(4&lt;=6,'前提'!$B$94,IF(4&lt;=12,'前提'!$B$95,IF(4&lt;=18,'前提'!$B$96,IF(4&lt;=24,'前提'!$B$97,IF(4&lt;=36,'前提'!$B$98,IF(4&lt;=48,'前提'!$B$99,'前提'!$B$100)))))))+IF(4&gt;=7,CEILING(E14/'前提'!$B$29,1),0)+IF(4&gt;=7,CEILING(E14/'前提'!$B$30,1),0)+IF(4&gt;=7,CEILING(E10/'前提'!$B$31,1),0))*'前提'!$B$49</f>
        <v/>
      </c>
      <c r="F44" s="5">
        <f>(1+IF(5&lt;=6,'前提'!$B$36/160,IF(5&lt;=12,'前提'!$B$37/160,(IF(5&lt;=6,'前提'!$B$85,IF(5&lt;=12,'前提'!$B$86,IF(5&lt;=18,'前提'!$B$87,IF(5&lt;=24,'前提'!$B$88,IF(5&lt;=36,'前提'!$B$89,IF(5&lt;=48,'前提'!$B$90,'前提'!$B$91)))))))))+(IF(5&lt;=6,'前提'!$B$94,IF(5&lt;=12,'前提'!$B$95,IF(5&lt;=18,'前提'!$B$96,IF(5&lt;=24,'前提'!$B$97,IF(5&lt;=36,'前提'!$B$98,IF(5&lt;=48,'前提'!$B$99,'前提'!$B$100)))))))+IF(5&gt;=7,CEILING(F14/'前提'!$B$29,1),0)+IF(5&gt;=7,CEILING(F14/'前提'!$B$30,1),0)+IF(5&gt;=7,CEILING(F10/'前提'!$B$31,1),0))*'前提'!$B$49</f>
        <v/>
      </c>
      <c r="G44" s="5">
        <f>(1+IF(6&lt;=6,'前提'!$B$36/160,IF(6&lt;=12,'前提'!$B$37/160,(IF(6&lt;=6,'前提'!$B$85,IF(6&lt;=12,'前提'!$B$86,IF(6&lt;=18,'前提'!$B$87,IF(6&lt;=24,'前提'!$B$88,IF(6&lt;=36,'前提'!$B$89,IF(6&lt;=48,'前提'!$B$90,'前提'!$B$91)))))))))+(IF(6&lt;=6,'前提'!$B$94,IF(6&lt;=12,'前提'!$B$95,IF(6&lt;=18,'前提'!$B$96,IF(6&lt;=24,'前提'!$B$97,IF(6&lt;=36,'前提'!$B$98,IF(6&lt;=48,'前提'!$B$99,'前提'!$B$100)))))))+IF(6&gt;=7,CEILING(G14/'前提'!$B$29,1),0)+IF(6&gt;=7,CEILING(G14/'前提'!$B$30,1),0)+IF(6&gt;=7,CEILING(G10/'前提'!$B$31,1),0))*'前提'!$B$49</f>
        <v/>
      </c>
      <c r="H44" s="5">
        <f>(1+IF(7&lt;=6,'前提'!$B$36/160,IF(7&lt;=12,'前提'!$B$37/160,(IF(7&lt;=6,'前提'!$B$85,IF(7&lt;=12,'前提'!$B$86,IF(7&lt;=18,'前提'!$B$87,IF(7&lt;=24,'前提'!$B$88,IF(7&lt;=36,'前提'!$B$89,IF(7&lt;=48,'前提'!$B$90,'前提'!$B$91)))))))))+(IF(7&lt;=6,'前提'!$B$94,IF(7&lt;=12,'前提'!$B$95,IF(7&lt;=18,'前提'!$B$96,IF(7&lt;=24,'前提'!$B$97,IF(7&lt;=36,'前提'!$B$98,IF(7&lt;=48,'前提'!$B$99,'前提'!$B$100)))))))+IF(7&gt;=7,CEILING(H14/'前提'!$B$29,1),0)+IF(7&gt;=7,CEILING(H14/'前提'!$B$30,1),0)+IF(7&gt;=7,CEILING(H10/'前提'!$B$31,1),0))*'前提'!$B$49</f>
        <v/>
      </c>
      <c r="I44" s="5">
        <f>(1+IF(8&lt;=6,'前提'!$B$36/160,IF(8&lt;=12,'前提'!$B$37/160,(IF(8&lt;=6,'前提'!$B$85,IF(8&lt;=12,'前提'!$B$86,IF(8&lt;=18,'前提'!$B$87,IF(8&lt;=24,'前提'!$B$88,IF(8&lt;=36,'前提'!$B$89,IF(8&lt;=48,'前提'!$B$90,'前提'!$B$91)))))))))+(IF(8&lt;=6,'前提'!$B$94,IF(8&lt;=12,'前提'!$B$95,IF(8&lt;=18,'前提'!$B$96,IF(8&lt;=24,'前提'!$B$97,IF(8&lt;=36,'前提'!$B$98,IF(8&lt;=48,'前提'!$B$99,'前提'!$B$100)))))))+IF(8&gt;=7,CEILING(I14/'前提'!$B$29,1),0)+IF(8&gt;=7,CEILING(I14/'前提'!$B$30,1),0)+IF(8&gt;=7,CEILING(I10/'前提'!$B$31,1),0))*'前提'!$B$49</f>
        <v/>
      </c>
      <c r="J44" s="5">
        <f>(1+IF(9&lt;=6,'前提'!$B$36/160,IF(9&lt;=12,'前提'!$B$37/160,(IF(9&lt;=6,'前提'!$B$85,IF(9&lt;=12,'前提'!$B$86,IF(9&lt;=18,'前提'!$B$87,IF(9&lt;=24,'前提'!$B$88,IF(9&lt;=36,'前提'!$B$89,IF(9&lt;=48,'前提'!$B$90,'前提'!$B$91)))))))))+(IF(9&lt;=6,'前提'!$B$94,IF(9&lt;=12,'前提'!$B$95,IF(9&lt;=18,'前提'!$B$96,IF(9&lt;=24,'前提'!$B$97,IF(9&lt;=36,'前提'!$B$98,IF(9&lt;=48,'前提'!$B$99,'前提'!$B$100)))))))+IF(9&gt;=7,CEILING(J14/'前提'!$B$29,1),0)+IF(9&gt;=7,CEILING(J14/'前提'!$B$30,1),0)+IF(9&gt;=7,CEILING(J10/'前提'!$B$31,1),0))*'前提'!$B$49</f>
        <v/>
      </c>
      <c r="K44" s="5">
        <f>(1+IF(10&lt;=6,'前提'!$B$36/160,IF(10&lt;=12,'前提'!$B$37/160,(IF(10&lt;=6,'前提'!$B$85,IF(10&lt;=12,'前提'!$B$86,IF(10&lt;=18,'前提'!$B$87,IF(10&lt;=24,'前提'!$B$88,IF(10&lt;=36,'前提'!$B$89,IF(10&lt;=48,'前提'!$B$90,'前提'!$B$91)))))))))+(IF(10&lt;=6,'前提'!$B$94,IF(10&lt;=12,'前提'!$B$95,IF(10&lt;=18,'前提'!$B$96,IF(10&lt;=24,'前提'!$B$97,IF(10&lt;=36,'前提'!$B$98,IF(10&lt;=48,'前提'!$B$99,'前提'!$B$100)))))))+IF(10&gt;=7,CEILING(K14/'前提'!$B$29,1),0)+IF(10&gt;=7,CEILING(K14/'前提'!$B$30,1),0)+IF(10&gt;=7,CEILING(K10/'前提'!$B$31,1),0))*'前提'!$B$49</f>
        <v/>
      </c>
      <c r="L44" s="5">
        <f>(1+IF(11&lt;=6,'前提'!$B$36/160,IF(11&lt;=12,'前提'!$B$37/160,(IF(11&lt;=6,'前提'!$B$85,IF(11&lt;=12,'前提'!$B$86,IF(11&lt;=18,'前提'!$B$87,IF(11&lt;=24,'前提'!$B$88,IF(11&lt;=36,'前提'!$B$89,IF(11&lt;=48,'前提'!$B$90,'前提'!$B$91)))))))))+(IF(11&lt;=6,'前提'!$B$94,IF(11&lt;=12,'前提'!$B$95,IF(11&lt;=18,'前提'!$B$96,IF(11&lt;=24,'前提'!$B$97,IF(11&lt;=36,'前提'!$B$98,IF(11&lt;=48,'前提'!$B$99,'前提'!$B$100)))))))+IF(11&gt;=7,CEILING(L14/'前提'!$B$29,1),0)+IF(11&gt;=7,CEILING(L14/'前提'!$B$30,1),0)+IF(11&gt;=7,CEILING(L10/'前提'!$B$31,1),0))*'前提'!$B$49</f>
        <v/>
      </c>
      <c r="M44" s="5">
        <f>(1+IF(12&lt;=6,'前提'!$B$36/160,IF(12&lt;=12,'前提'!$B$37/160,(IF(12&lt;=6,'前提'!$B$85,IF(12&lt;=12,'前提'!$B$86,IF(12&lt;=18,'前提'!$B$87,IF(12&lt;=24,'前提'!$B$88,IF(12&lt;=36,'前提'!$B$89,IF(12&lt;=48,'前提'!$B$90,'前提'!$B$91)))))))))+(IF(12&lt;=6,'前提'!$B$94,IF(12&lt;=12,'前提'!$B$95,IF(12&lt;=18,'前提'!$B$96,IF(12&lt;=24,'前提'!$B$97,IF(12&lt;=36,'前提'!$B$98,IF(12&lt;=48,'前提'!$B$99,'前提'!$B$100)))))))+IF(12&gt;=7,CEILING(M14/'前提'!$B$29,1),0)+IF(12&gt;=7,CEILING(M14/'前提'!$B$30,1),0)+IF(12&gt;=7,CEILING(M10/'前提'!$B$31,1),0))*'前提'!$B$49</f>
        <v/>
      </c>
      <c r="N44" s="5">
        <f>(1+IF(13&lt;=6,'前提'!$B$36/160,IF(13&lt;=12,'前提'!$B$37/160,(IF(13&lt;=6,'前提'!$B$85,IF(13&lt;=12,'前提'!$B$86,IF(13&lt;=18,'前提'!$B$87,IF(13&lt;=24,'前提'!$B$88,IF(13&lt;=36,'前提'!$B$89,IF(13&lt;=48,'前提'!$B$90,'前提'!$B$91)))))))))+(IF(13&lt;=6,'前提'!$B$94,IF(13&lt;=12,'前提'!$B$95,IF(13&lt;=18,'前提'!$B$96,IF(13&lt;=24,'前提'!$B$97,IF(13&lt;=36,'前提'!$B$98,IF(13&lt;=48,'前提'!$B$99,'前提'!$B$100)))))))+IF(13&gt;=7,CEILING(N14/'前提'!$B$29,1),0)+IF(13&gt;=7,CEILING(N14/'前提'!$B$30,1),0)+IF(13&gt;=7,CEILING(N10/'前提'!$B$31,1),0))*'前提'!$B$49</f>
        <v/>
      </c>
      <c r="O44" s="5">
        <f>(1+IF(14&lt;=6,'前提'!$B$36/160,IF(14&lt;=12,'前提'!$B$37/160,(IF(14&lt;=6,'前提'!$B$85,IF(14&lt;=12,'前提'!$B$86,IF(14&lt;=18,'前提'!$B$87,IF(14&lt;=24,'前提'!$B$88,IF(14&lt;=36,'前提'!$B$89,IF(14&lt;=48,'前提'!$B$90,'前提'!$B$91)))))))))+(IF(14&lt;=6,'前提'!$B$94,IF(14&lt;=12,'前提'!$B$95,IF(14&lt;=18,'前提'!$B$96,IF(14&lt;=24,'前提'!$B$97,IF(14&lt;=36,'前提'!$B$98,IF(14&lt;=48,'前提'!$B$99,'前提'!$B$100)))))))+IF(14&gt;=7,CEILING(O14/'前提'!$B$29,1),0)+IF(14&gt;=7,CEILING(O14/'前提'!$B$30,1),0)+IF(14&gt;=7,CEILING(O10/'前提'!$B$31,1),0))*'前提'!$B$49</f>
        <v/>
      </c>
      <c r="P44" s="5">
        <f>(1+IF(15&lt;=6,'前提'!$B$36/160,IF(15&lt;=12,'前提'!$B$37/160,(IF(15&lt;=6,'前提'!$B$85,IF(15&lt;=12,'前提'!$B$86,IF(15&lt;=18,'前提'!$B$87,IF(15&lt;=24,'前提'!$B$88,IF(15&lt;=36,'前提'!$B$89,IF(15&lt;=48,'前提'!$B$90,'前提'!$B$91)))))))))+(IF(15&lt;=6,'前提'!$B$94,IF(15&lt;=12,'前提'!$B$95,IF(15&lt;=18,'前提'!$B$96,IF(15&lt;=24,'前提'!$B$97,IF(15&lt;=36,'前提'!$B$98,IF(15&lt;=48,'前提'!$B$99,'前提'!$B$100)))))))+IF(15&gt;=7,CEILING(P14/'前提'!$B$29,1),0)+IF(15&gt;=7,CEILING(P14/'前提'!$B$30,1),0)+IF(15&gt;=7,CEILING(P10/'前提'!$B$31,1),0))*'前提'!$B$49</f>
        <v/>
      </c>
      <c r="Q44" s="5">
        <f>(1+IF(16&lt;=6,'前提'!$B$36/160,IF(16&lt;=12,'前提'!$B$37/160,(IF(16&lt;=6,'前提'!$B$85,IF(16&lt;=12,'前提'!$B$86,IF(16&lt;=18,'前提'!$B$87,IF(16&lt;=24,'前提'!$B$88,IF(16&lt;=36,'前提'!$B$89,IF(16&lt;=48,'前提'!$B$90,'前提'!$B$91)))))))))+(IF(16&lt;=6,'前提'!$B$94,IF(16&lt;=12,'前提'!$B$95,IF(16&lt;=18,'前提'!$B$96,IF(16&lt;=24,'前提'!$B$97,IF(16&lt;=36,'前提'!$B$98,IF(16&lt;=48,'前提'!$B$99,'前提'!$B$100)))))))+IF(16&gt;=7,CEILING(Q14/'前提'!$B$29,1),0)+IF(16&gt;=7,CEILING(Q14/'前提'!$B$30,1),0)+IF(16&gt;=7,CEILING(Q10/'前提'!$B$31,1),0))*'前提'!$B$49</f>
        <v/>
      </c>
      <c r="R44" s="5">
        <f>(1+IF(17&lt;=6,'前提'!$B$36/160,IF(17&lt;=12,'前提'!$B$37/160,(IF(17&lt;=6,'前提'!$B$85,IF(17&lt;=12,'前提'!$B$86,IF(17&lt;=18,'前提'!$B$87,IF(17&lt;=24,'前提'!$B$88,IF(17&lt;=36,'前提'!$B$89,IF(17&lt;=48,'前提'!$B$90,'前提'!$B$91)))))))))+(IF(17&lt;=6,'前提'!$B$94,IF(17&lt;=12,'前提'!$B$95,IF(17&lt;=18,'前提'!$B$96,IF(17&lt;=24,'前提'!$B$97,IF(17&lt;=36,'前提'!$B$98,IF(17&lt;=48,'前提'!$B$99,'前提'!$B$100)))))))+IF(17&gt;=7,CEILING(R14/'前提'!$B$29,1),0)+IF(17&gt;=7,CEILING(R14/'前提'!$B$30,1),0)+IF(17&gt;=7,CEILING(R10/'前提'!$B$31,1),0))*'前提'!$B$49</f>
        <v/>
      </c>
      <c r="S44" s="5">
        <f>(1+IF(18&lt;=6,'前提'!$B$36/160,IF(18&lt;=12,'前提'!$B$37/160,(IF(18&lt;=6,'前提'!$B$85,IF(18&lt;=12,'前提'!$B$86,IF(18&lt;=18,'前提'!$B$87,IF(18&lt;=24,'前提'!$B$88,IF(18&lt;=36,'前提'!$B$89,IF(18&lt;=48,'前提'!$B$90,'前提'!$B$91)))))))))+(IF(18&lt;=6,'前提'!$B$94,IF(18&lt;=12,'前提'!$B$95,IF(18&lt;=18,'前提'!$B$96,IF(18&lt;=24,'前提'!$B$97,IF(18&lt;=36,'前提'!$B$98,IF(18&lt;=48,'前提'!$B$99,'前提'!$B$100)))))))+IF(18&gt;=7,CEILING(S14/'前提'!$B$29,1),0)+IF(18&gt;=7,CEILING(S14/'前提'!$B$30,1),0)+IF(18&gt;=7,CEILING(S10/'前提'!$B$31,1),0))*'前提'!$B$49</f>
        <v/>
      </c>
      <c r="T44" s="5">
        <f>(1+IF(19&lt;=6,'前提'!$B$36/160,IF(19&lt;=12,'前提'!$B$37/160,(IF(19&lt;=6,'前提'!$B$85,IF(19&lt;=12,'前提'!$B$86,IF(19&lt;=18,'前提'!$B$87,IF(19&lt;=24,'前提'!$B$88,IF(19&lt;=36,'前提'!$B$89,IF(19&lt;=48,'前提'!$B$90,'前提'!$B$91)))))))))+(IF(19&lt;=6,'前提'!$B$94,IF(19&lt;=12,'前提'!$B$95,IF(19&lt;=18,'前提'!$B$96,IF(19&lt;=24,'前提'!$B$97,IF(19&lt;=36,'前提'!$B$98,IF(19&lt;=48,'前提'!$B$99,'前提'!$B$100)))))))+IF(19&gt;=7,CEILING(T14/'前提'!$B$29,1),0)+IF(19&gt;=7,CEILING(T14/'前提'!$B$30,1),0)+IF(19&gt;=7,CEILING(T10/'前提'!$B$31,1),0))*'前提'!$B$49</f>
        <v/>
      </c>
      <c r="U44" s="5">
        <f>(1+IF(20&lt;=6,'前提'!$B$36/160,IF(20&lt;=12,'前提'!$B$37/160,(IF(20&lt;=6,'前提'!$B$85,IF(20&lt;=12,'前提'!$B$86,IF(20&lt;=18,'前提'!$B$87,IF(20&lt;=24,'前提'!$B$88,IF(20&lt;=36,'前提'!$B$89,IF(20&lt;=48,'前提'!$B$90,'前提'!$B$91)))))))))+(IF(20&lt;=6,'前提'!$B$94,IF(20&lt;=12,'前提'!$B$95,IF(20&lt;=18,'前提'!$B$96,IF(20&lt;=24,'前提'!$B$97,IF(20&lt;=36,'前提'!$B$98,IF(20&lt;=48,'前提'!$B$99,'前提'!$B$100)))))))+IF(20&gt;=7,CEILING(U14/'前提'!$B$29,1),0)+IF(20&gt;=7,CEILING(U14/'前提'!$B$30,1),0)+IF(20&gt;=7,CEILING(U10/'前提'!$B$31,1),0))*'前提'!$B$49</f>
        <v/>
      </c>
      <c r="V44" s="5">
        <f>(1+IF(21&lt;=6,'前提'!$B$36/160,IF(21&lt;=12,'前提'!$B$37/160,(IF(21&lt;=6,'前提'!$B$85,IF(21&lt;=12,'前提'!$B$86,IF(21&lt;=18,'前提'!$B$87,IF(21&lt;=24,'前提'!$B$88,IF(21&lt;=36,'前提'!$B$89,IF(21&lt;=48,'前提'!$B$90,'前提'!$B$91)))))))))+(IF(21&lt;=6,'前提'!$B$94,IF(21&lt;=12,'前提'!$B$95,IF(21&lt;=18,'前提'!$B$96,IF(21&lt;=24,'前提'!$B$97,IF(21&lt;=36,'前提'!$B$98,IF(21&lt;=48,'前提'!$B$99,'前提'!$B$100)))))))+IF(21&gt;=7,CEILING(V14/'前提'!$B$29,1),0)+IF(21&gt;=7,CEILING(V14/'前提'!$B$30,1),0)+IF(21&gt;=7,CEILING(V10/'前提'!$B$31,1),0))*'前提'!$B$49</f>
        <v/>
      </c>
      <c r="W44" s="5">
        <f>(1+IF(22&lt;=6,'前提'!$B$36/160,IF(22&lt;=12,'前提'!$B$37/160,(IF(22&lt;=6,'前提'!$B$85,IF(22&lt;=12,'前提'!$B$86,IF(22&lt;=18,'前提'!$B$87,IF(22&lt;=24,'前提'!$B$88,IF(22&lt;=36,'前提'!$B$89,IF(22&lt;=48,'前提'!$B$90,'前提'!$B$91)))))))))+(IF(22&lt;=6,'前提'!$B$94,IF(22&lt;=12,'前提'!$B$95,IF(22&lt;=18,'前提'!$B$96,IF(22&lt;=24,'前提'!$B$97,IF(22&lt;=36,'前提'!$B$98,IF(22&lt;=48,'前提'!$B$99,'前提'!$B$100)))))))+IF(22&gt;=7,CEILING(W14/'前提'!$B$29,1),0)+IF(22&gt;=7,CEILING(W14/'前提'!$B$30,1),0)+IF(22&gt;=7,CEILING(W10/'前提'!$B$31,1),0))*'前提'!$B$49</f>
        <v/>
      </c>
      <c r="X44" s="5">
        <f>(1+IF(23&lt;=6,'前提'!$B$36/160,IF(23&lt;=12,'前提'!$B$37/160,(IF(23&lt;=6,'前提'!$B$85,IF(23&lt;=12,'前提'!$B$86,IF(23&lt;=18,'前提'!$B$87,IF(23&lt;=24,'前提'!$B$88,IF(23&lt;=36,'前提'!$B$89,IF(23&lt;=48,'前提'!$B$90,'前提'!$B$91)))))))))+(IF(23&lt;=6,'前提'!$B$94,IF(23&lt;=12,'前提'!$B$95,IF(23&lt;=18,'前提'!$B$96,IF(23&lt;=24,'前提'!$B$97,IF(23&lt;=36,'前提'!$B$98,IF(23&lt;=48,'前提'!$B$99,'前提'!$B$100)))))))+IF(23&gt;=7,CEILING(X14/'前提'!$B$29,1),0)+IF(23&gt;=7,CEILING(X14/'前提'!$B$30,1),0)+IF(23&gt;=7,CEILING(X10/'前提'!$B$31,1),0))*'前提'!$B$49</f>
        <v/>
      </c>
      <c r="Y44" s="5">
        <f>(1+IF(24&lt;=6,'前提'!$B$36/160,IF(24&lt;=12,'前提'!$B$37/160,(IF(24&lt;=6,'前提'!$B$85,IF(24&lt;=12,'前提'!$B$86,IF(24&lt;=18,'前提'!$B$87,IF(24&lt;=24,'前提'!$B$88,IF(24&lt;=36,'前提'!$B$89,IF(24&lt;=48,'前提'!$B$90,'前提'!$B$91)))))))))+(IF(24&lt;=6,'前提'!$B$94,IF(24&lt;=12,'前提'!$B$95,IF(24&lt;=18,'前提'!$B$96,IF(24&lt;=24,'前提'!$B$97,IF(24&lt;=36,'前提'!$B$98,IF(24&lt;=48,'前提'!$B$99,'前提'!$B$100)))))))+IF(24&gt;=7,CEILING(Y14/'前提'!$B$29,1),0)+IF(24&gt;=7,CEILING(Y14/'前提'!$B$30,1),0)+IF(24&gt;=7,CEILING(Y10/'前提'!$B$31,1),0))*'前提'!$B$49</f>
        <v/>
      </c>
      <c r="Z44" s="5">
        <f>(1+IF(25&lt;=6,'前提'!$B$36/160,IF(25&lt;=12,'前提'!$B$37/160,(IF(25&lt;=6,'前提'!$B$85,IF(25&lt;=12,'前提'!$B$86,IF(25&lt;=18,'前提'!$B$87,IF(25&lt;=24,'前提'!$B$88,IF(25&lt;=36,'前提'!$B$89,IF(25&lt;=48,'前提'!$B$90,'前提'!$B$91)))))))))+(IF(25&lt;=6,'前提'!$B$94,IF(25&lt;=12,'前提'!$B$95,IF(25&lt;=18,'前提'!$B$96,IF(25&lt;=24,'前提'!$B$97,IF(25&lt;=36,'前提'!$B$98,IF(25&lt;=48,'前提'!$B$99,'前提'!$B$100)))))))+IF(25&gt;=7,CEILING(Z14/'前提'!$B$29,1),0)+IF(25&gt;=7,CEILING(Z14/'前提'!$B$30,1),0)+IF(25&gt;=7,CEILING(Z10/'前提'!$B$31,1),0))*'前提'!$B$49</f>
        <v/>
      </c>
      <c r="AA44" s="5">
        <f>(1+IF(26&lt;=6,'前提'!$B$36/160,IF(26&lt;=12,'前提'!$B$37/160,(IF(26&lt;=6,'前提'!$B$85,IF(26&lt;=12,'前提'!$B$86,IF(26&lt;=18,'前提'!$B$87,IF(26&lt;=24,'前提'!$B$88,IF(26&lt;=36,'前提'!$B$89,IF(26&lt;=48,'前提'!$B$90,'前提'!$B$91)))))))))+(IF(26&lt;=6,'前提'!$B$94,IF(26&lt;=12,'前提'!$B$95,IF(26&lt;=18,'前提'!$B$96,IF(26&lt;=24,'前提'!$B$97,IF(26&lt;=36,'前提'!$B$98,IF(26&lt;=48,'前提'!$B$99,'前提'!$B$100)))))))+IF(26&gt;=7,CEILING(AA14/'前提'!$B$29,1),0)+IF(26&gt;=7,CEILING(AA14/'前提'!$B$30,1),0)+IF(26&gt;=7,CEILING(AA10/'前提'!$B$31,1),0))*'前提'!$B$49</f>
        <v/>
      </c>
      <c r="AB44" s="5">
        <f>(1+IF(27&lt;=6,'前提'!$B$36/160,IF(27&lt;=12,'前提'!$B$37/160,(IF(27&lt;=6,'前提'!$B$85,IF(27&lt;=12,'前提'!$B$86,IF(27&lt;=18,'前提'!$B$87,IF(27&lt;=24,'前提'!$B$88,IF(27&lt;=36,'前提'!$B$89,IF(27&lt;=48,'前提'!$B$90,'前提'!$B$91)))))))))+(IF(27&lt;=6,'前提'!$B$94,IF(27&lt;=12,'前提'!$B$95,IF(27&lt;=18,'前提'!$B$96,IF(27&lt;=24,'前提'!$B$97,IF(27&lt;=36,'前提'!$B$98,IF(27&lt;=48,'前提'!$B$99,'前提'!$B$100)))))))+IF(27&gt;=7,CEILING(AB14/'前提'!$B$29,1),0)+IF(27&gt;=7,CEILING(AB14/'前提'!$B$30,1),0)+IF(27&gt;=7,CEILING(AB10/'前提'!$B$31,1),0))*'前提'!$B$49</f>
        <v/>
      </c>
      <c r="AC44" s="5">
        <f>(1+IF(28&lt;=6,'前提'!$B$36/160,IF(28&lt;=12,'前提'!$B$37/160,(IF(28&lt;=6,'前提'!$B$85,IF(28&lt;=12,'前提'!$B$86,IF(28&lt;=18,'前提'!$B$87,IF(28&lt;=24,'前提'!$B$88,IF(28&lt;=36,'前提'!$B$89,IF(28&lt;=48,'前提'!$B$90,'前提'!$B$91)))))))))+(IF(28&lt;=6,'前提'!$B$94,IF(28&lt;=12,'前提'!$B$95,IF(28&lt;=18,'前提'!$B$96,IF(28&lt;=24,'前提'!$B$97,IF(28&lt;=36,'前提'!$B$98,IF(28&lt;=48,'前提'!$B$99,'前提'!$B$100)))))))+IF(28&gt;=7,CEILING(AC14/'前提'!$B$29,1),0)+IF(28&gt;=7,CEILING(AC14/'前提'!$B$30,1),0)+IF(28&gt;=7,CEILING(AC10/'前提'!$B$31,1),0))*'前提'!$B$49</f>
        <v/>
      </c>
      <c r="AD44" s="5">
        <f>(1+IF(29&lt;=6,'前提'!$B$36/160,IF(29&lt;=12,'前提'!$B$37/160,(IF(29&lt;=6,'前提'!$B$85,IF(29&lt;=12,'前提'!$B$86,IF(29&lt;=18,'前提'!$B$87,IF(29&lt;=24,'前提'!$B$88,IF(29&lt;=36,'前提'!$B$89,IF(29&lt;=48,'前提'!$B$90,'前提'!$B$91)))))))))+(IF(29&lt;=6,'前提'!$B$94,IF(29&lt;=12,'前提'!$B$95,IF(29&lt;=18,'前提'!$B$96,IF(29&lt;=24,'前提'!$B$97,IF(29&lt;=36,'前提'!$B$98,IF(29&lt;=48,'前提'!$B$99,'前提'!$B$100)))))))+IF(29&gt;=7,CEILING(AD14/'前提'!$B$29,1),0)+IF(29&gt;=7,CEILING(AD14/'前提'!$B$30,1),0)+IF(29&gt;=7,CEILING(AD10/'前提'!$B$31,1),0))*'前提'!$B$49</f>
        <v/>
      </c>
      <c r="AE44" s="5">
        <f>(1+IF(30&lt;=6,'前提'!$B$36/160,IF(30&lt;=12,'前提'!$B$37/160,(IF(30&lt;=6,'前提'!$B$85,IF(30&lt;=12,'前提'!$B$86,IF(30&lt;=18,'前提'!$B$87,IF(30&lt;=24,'前提'!$B$88,IF(30&lt;=36,'前提'!$B$89,IF(30&lt;=48,'前提'!$B$90,'前提'!$B$91)))))))))+(IF(30&lt;=6,'前提'!$B$94,IF(30&lt;=12,'前提'!$B$95,IF(30&lt;=18,'前提'!$B$96,IF(30&lt;=24,'前提'!$B$97,IF(30&lt;=36,'前提'!$B$98,IF(30&lt;=48,'前提'!$B$99,'前提'!$B$100)))))))+IF(30&gt;=7,CEILING(AE14/'前提'!$B$29,1),0)+IF(30&gt;=7,CEILING(AE14/'前提'!$B$30,1),0)+IF(30&gt;=7,CEILING(AE10/'前提'!$B$31,1),0))*'前提'!$B$49</f>
        <v/>
      </c>
      <c r="AF44" s="5">
        <f>(1+IF(31&lt;=6,'前提'!$B$36/160,IF(31&lt;=12,'前提'!$B$37/160,(IF(31&lt;=6,'前提'!$B$85,IF(31&lt;=12,'前提'!$B$86,IF(31&lt;=18,'前提'!$B$87,IF(31&lt;=24,'前提'!$B$88,IF(31&lt;=36,'前提'!$B$89,IF(31&lt;=48,'前提'!$B$90,'前提'!$B$91)))))))))+(IF(31&lt;=6,'前提'!$B$94,IF(31&lt;=12,'前提'!$B$95,IF(31&lt;=18,'前提'!$B$96,IF(31&lt;=24,'前提'!$B$97,IF(31&lt;=36,'前提'!$B$98,IF(31&lt;=48,'前提'!$B$99,'前提'!$B$100)))))))+IF(31&gt;=7,CEILING(AF14/'前提'!$B$29,1),0)+IF(31&gt;=7,CEILING(AF14/'前提'!$B$30,1),0)+IF(31&gt;=7,CEILING(AF10/'前提'!$B$31,1),0))*'前提'!$B$49</f>
        <v/>
      </c>
      <c r="AG44" s="5">
        <f>(1+IF(32&lt;=6,'前提'!$B$36/160,IF(32&lt;=12,'前提'!$B$37/160,(IF(32&lt;=6,'前提'!$B$85,IF(32&lt;=12,'前提'!$B$86,IF(32&lt;=18,'前提'!$B$87,IF(32&lt;=24,'前提'!$B$88,IF(32&lt;=36,'前提'!$B$89,IF(32&lt;=48,'前提'!$B$90,'前提'!$B$91)))))))))+(IF(32&lt;=6,'前提'!$B$94,IF(32&lt;=12,'前提'!$B$95,IF(32&lt;=18,'前提'!$B$96,IF(32&lt;=24,'前提'!$B$97,IF(32&lt;=36,'前提'!$B$98,IF(32&lt;=48,'前提'!$B$99,'前提'!$B$100)))))))+IF(32&gt;=7,CEILING(AG14/'前提'!$B$29,1),0)+IF(32&gt;=7,CEILING(AG14/'前提'!$B$30,1),0)+IF(32&gt;=7,CEILING(AG10/'前提'!$B$31,1),0))*'前提'!$B$49</f>
        <v/>
      </c>
      <c r="AH44" s="5">
        <f>(1+IF(33&lt;=6,'前提'!$B$36/160,IF(33&lt;=12,'前提'!$B$37/160,(IF(33&lt;=6,'前提'!$B$85,IF(33&lt;=12,'前提'!$B$86,IF(33&lt;=18,'前提'!$B$87,IF(33&lt;=24,'前提'!$B$88,IF(33&lt;=36,'前提'!$B$89,IF(33&lt;=48,'前提'!$B$90,'前提'!$B$91)))))))))+(IF(33&lt;=6,'前提'!$B$94,IF(33&lt;=12,'前提'!$B$95,IF(33&lt;=18,'前提'!$B$96,IF(33&lt;=24,'前提'!$B$97,IF(33&lt;=36,'前提'!$B$98,IF(33&lt;=48,'前提'!$B$99,'前提'!$B$100)))))))+IF(33&gt;=7,CEILING(AH14/'前提'!$B$29,1),0)+IF(33&gt;=7,CEILING(AH14/'前提'!$B$30,1),0)+IF(33&gt;=7,CEILING(AH10/'前提'!$B$31,1),0))*'前提'!$B$49</f>
        <v/>
      </c>
      <c r="AI44" s="5">
        <f>(1+IF(34&lt;=6,'前提'!$B$36/160,IF(34&lt;=12,'前提'!$B$37/160,(IF(34&lt;=6,'前提'!$B$85,IF(34&lt;=12,'前提'!$B$86,IF(34&lt;=18,'前提'!$B$87,IF(34&lt;=24,'前提'!$B$88,IF(34&lt;=36,'前提'!$B$89,IF(34&lt;=48,'前提'!$B$90,'前提'!$B$91)))))))))+(IF(34&lt;=6,'前提'!$B$94,IF(34&lt;=12,'前提'!$B$95,IF(34&lt;=18,'前提'!$B$96,IF(34&lt;=24,'前提'!$B$97,IF(34&lt;=36,'前提'!$B$98,IF(34&lt;=48,'前提'!$B$99,'前提'!$B$100)))))))+IF(34&gt;=7,CEILING(AI14/'前提'!$B$29,1),0)+IF(34&gt;=7,CEILING(AI14/'前提'!$B$30,1),0)+IF(34&gt;=7,CEILING(AI10/'前提'!$B$31,1),0))*'前提'!$B$49</f>
        <v/>
      </c>
      <c r="AJ44" s="5">
        <f>(1+IF(35&lt;=6,'前提'!$B$36/160,IF(35&lt;=12,'前提'!$B$37/160,(IF(35&lt;=6,'前提'!$B$85,IF(35&lt;=12,'前提'!$B$86,IF(35&lt;=18,'前提'!$B$87,IF(35&lt;=24,'前提'!$B$88,IF(35&lt;=36,'前提'!$B$89,IF(35&lt;=48,'前提'!$B$90,'前提'!$B$91)))))))))+(IF(35&lt;=6,'前提'!$B$94,IF(35&lt;=12,'前提'!$B$95,IF(35&lt;=18,'前提'!$B$96,IF(35&lt;=24,'前提'!$B$97,IF(35&lt;=36,'前提'!$B$98,IF(35&lt;=48,'前提'!$B$99,'前提'!$B$100)))))))+IF(35&gt;=7,CEILING(AJ14/'前提'!$B$29,1),0)+IF(35&gt;=7,CEILING(AJ14/'前提'!$B$30,1),0)+IF(35&gt;=7,CEILING(AJ10/'前提'!$B$31,1),0))*'前提'!$B$49</f>
        <v/>
      </c>
      <c r="AK44" s="5">
        <f>(1+IF(36&lt;=6,'前提'!$B$36/160,IF(36&lt;=12,'前提'!$B$37/160,(IF(36&lt;=6,'前提'!$B$85,IF(36&lt;=12,'前提'!$B$86,IF(36&lt;=18,'前提'!$B$87,IF(36&lt;=24,'前提'!$B$88,IF(36&lt;=36,'前提'!$B$89,IF(36&lt;=48,'前提'!$B$90,'前提'!$B$91)))))))))+(IF(36&lt;=6,'前提'!$B$94,IF(36&lt;=12,'前提'!$B$95,IF(36&lt;=18,'前提'!$B$96,IF(36&lt;=24,'前提'!$B$97,IF(36&lt;=36,'前提'!$B$98,IF(36&lt;=48,'前提'!$B$99,'前提'!$B$100)))))))+IF(36&gt;=7,CEILING(AK14/'前提'!$B$29,1),0)+IF(36&gt;=7,CEILING(AK14/'前提'!$B$30,1),0)+IF(36&gt;=7,CEILING(AK10/'前提'!$B$31,1),0))*'前提'!$B$49</f>
        <v/>
      </c>
      <c r="AL44" s="5">
        <f>(1+IF(37&lt;=6,'前提'!$B$36/160,IF(37&lt;=12,'前提'!$B$37/160,(IF(37&lt;=6,'前提'!$B$85,IF(37&lt;=12,'前提'!$B$86,IF(37&lt;=18,'前提'!$B$87,IF(37&lt;=24,'前提'!$B$88,IF(37&lt;=36,'前提'!$B$89,IF(37&lt;=48,'前提'!$B$90,'前提'!$B$91)))))))))+(IF(37&lt;=6,'前提'!$B$94,IF(37&lt;=12,'前提'!$B$95,IF(37&lt;=18,'前提'!$B$96,IF(37&lt;=24,'前提'!$B$97,IF(37&lt;=36,'前提'!$B$98,IF(37&lt;=48,'前提'!$B$99,'前提'!$B$100)))))))+IF(37&gt;=7,CEILING(AL14/'前提'!$B$29,1),0)+IF(37&gt;=7,CEILING(AL14/'前提'!$B$30,1),0)+IF(37&gt;=7,CEILING(AL10/'前提'!$B$31,1),0))*'前提'!$B$49</f>
        <v/>
      </c>
      <c r="AM44" s="5">
        <f>(1+IF(38&lt;=6,'前提'!$B$36/160,IF(38&lt;=12,'前提'!$B$37/160,(IF(38&lt;=6,'前提'!$B$85,IF(38&lt;=12,'前提'!$B$86,IF(38&lt;=18,'前提'!$B$87,IF(38&lt;=24,'前提'!$B$88,IF(38&lt;=36,'前提'!$B$89,IF(38&lt;=48,'前提'!$B$90,'前提'!$B$91)))))))))+(IF(38&lt;=6,'前提'!$B$94,IF(38&lt;=12,'前提'!$B$95,IF(38&lt;=18,'前提'!$B$96,IF(38&lt;=24,'前提'!$B$97,IF(38&lt;=36,'前提'!$B$98,IF(38&lt;=48,'前提'!$B$99,'前提'!$B$100)))))))+IF(38&gt;=7,CEILING(AM14/'前提'!$B$29,1),0)+IF(38&gt;=7,CEILING(AM14/'前提'!$B$30,1),0)+IF(38&gt;=7,CEILING(AM10/'前提'!$B$31,1),0))*'前提'!$B$49</f>
        <v/>
      </c>
      <c r="AN44" s="5">
        <f>(1+IF(39&lt;=6,'前提'!$B$36/160,IF(39&lt;=12,'前提'!$B$37/160,(IF(39&lt;=6,'前提'!$B$85,IF(39&lt;=12,'前提'!$B$86,IF(39&lt;=18,'前提'!$B$87,IF(39&lt;=24,'前提'!$B$88,IF(39&lt;=36,'前提'!$B$89,IF(39&lt;=48,'前提'!$B$90,'前提'!$B$91)))))))))+(IF(39&lt;=6,'前提'!$B$94,IF(39&lt;=12,'前提'!$B$95,IF(39&lt;=18,'前提'!$B$96,IF(39&lt;=24,'前提'!$B$97,IF(39&lt;=36,'前提'!$B$98,IF(39&lt;=48,'前提'!$B$99,'前提'!$B$100)))))))+IF(39&gt;=7,CEILING(AN14/'前提'!$B$29,1),0)+IF(39&gt;=7,CEILING(AN14/'前提'!$B$30,1),0)+IF(39&gt;=7,CEILING(AN10/'前提'!$B$31,1),0))*'前提'!$B$49</f>
        <v/>
      </c>
      <c r="AO44" s="5">
        <f>(1+IF(40&lt;=6,'前提'!$B$36/160,IF(40&lt;=12,'前提'!$B$37/160,(IF(40&lt;=6,'前提'!$B$85,IF(40&lt;=12,'前提'!$B$86,IF(40&lt;=18,'前提'!$B$87,IF(40&lt;=24,'前提'!$B$88,IF(40&lt;=36,'前提'!$B$89,IF(40&lt;=48,'前提'!$B$90,'前提'!$B$91)))))))))+(IF(40&lt;=6,'前提'!$B$94,IF(40&lt;=12,'前提'!$B$95,IF(40&lt;=18,'前提'!$B$96,IF(40&lt;=24,'前提'!$B$97,IF(40&lt;=36,'前提'!$B$98,IF(40&lt;=48,'前提'!$B$99,'前提'!$B$100)))))))+IF(40&gt;=7,CEILING(AO14/'前提'!$B$29,1),0)+IF(40&gt;=7,CEILING(AO14/'前提'!$B$30,1),0)+IF(40&gt;=7,CEILING(AO10/'前提'!$B$31,1),0))*'前提'!$B$49</f>
        <v/>
      </c>
      <c r="AP44" s="5">
        <f>(1+IF(41&lt;=6,'前提'!$B$36/160,IF(41&lt;=12,'前提'!$B$37/160,(IF(41&lt;=6,'前提'!$B$85,IF(41&lt;=12,'前提'!$B$86,IF(41&lt;=18,'前提'!$B$87,IF(41&lt;=24,'前提'!$B$88,IF(41&lt;=36,'前提'!$B$89,IF(41&lt;=48,'前提'!$B$90,'前提'!$B$91)))))))))+(IF(41&lt;=6,'前提'!$B$94,IF(41&lt;=12,'前提'!$B$95,IF(41&lt;=18,'前提'!$B$96,IF(41&lt;=24,'前提'!$B$97,IF(41&lt;=36,'前提'!$B$98,IF(41&lt;=48,'前提'!$B$99,'前提'!$B$100)))))))+IF(41&gt;=7,CEILING(AP14/'前提'!$B$29,1),0)+IF(41&gt;=7,CEILING(AP14/'前提'!$B$30,1),0)+IF(41&gt;=7,CEILING(AP10/'前提'!$B$31,1),0))*'前提'!$B$49</f>
        <v/>
      </c>
      <c r="AQ44" s="5">
        <f>(1+IF(42&lt;=6,'前提'!$B$36/160,IF(42&lt;=12,'前提'!$B$37/160,(IF(42&lt;=6,'前提'!$B$85,IF(42&lt;=12,'前提'!$B$86,IF(42&lt;=18,'前提'!$B$87,IF(42&lt;=24,'前提'!$B$88,IF(42&lt;=36,'前提'!$B$89,IF(42&lt;=48,'前提'!$B$90,'前提'!$B$91)))))))))+(IF(42&lt;=6,'前提'!$B$94,IF(42&lt;=12,'前提'!$B$95,IF(42&lt;=18,'前提'!$B$96,IF(42&lt;=24,'前提'!$B$97,IF(42&lt;=36,'前提'!$B$98,IF(42&lt;=48,'前提'!$B$99,'前提'!$B$100)))))))+IF(42&gt;=7,CEILING(AQ14/'前提'!$B$29,1),0)+IF(42&gt;=7,CEILING(AQ14/'前提'!$B$30,1),0)+IF(42&gt;=7,CEILING(AQ10/'前提'!$B$31,1),0))*'前提'!$B$49</f>
        <v/>
      </c>
      <c r="AR44" s="5">
        <f>(1+IF(43&lt;=6,'前提'!$B$36/160,IF(43&lt;=12,'前提'!$B$37/160,(IF(43&lt;=6,'前提'!$B$85,IF(43&lt;=12,'前提'!$B$86,IF(43&lt;=18,'前提'!$B$87,IF(43&lt;=24,'前提'!$B$88,IF(43&lt;=36,'前提'!$B$89,IF(43&lt;=48,'前提'!$B$90,'前提'!$B$91)))))))))+(IF(43&lt;=6,'前提'!$B$94,IF(43&lt;=12,'前提'!$B$95,IF(43&lt;=18,'前提'!$B$96,IF(43&lt;=24,'前提'!$B$97,IF(43&lt;=36,'前提'!$B$98,IF(43&lt;=48,'前提'!$B$99,'前提'!$B$100)))))))+IF(43&gt;=7,CEILING(AR14/'前提'!$B$29,1),0)+IF(43&gt;=7,CEILING(AR14/'前提'!$B$30,1),0)+IF(43&gt;=7,CEILING(AR10/'前提'!$B$31,1),0))*'前提'!$B$49</f>
        <v/>
      </c>
      <c r="AS44" s="5">
        <f>(1+IF(44&lt;=6,'前提'!$B$36/160,IF(44&lt;=12,'前提'!$B$37/160,(IF(44&lt;=6,'前提'!$B$85,IF(44&lt;=12,'前提'!$B$86,IF(44&lt;=18,'前提'!$B$87,IF(44&lt;=24,'前提'!$B$88,IF(44&lt;=36,'前提'!$B$89,IF(44&lt;=48,'前提'!$B$90,'前提'!$B$91)))))))))+(IF(44&lt;=6,'前提'!$B$94,IF(44&lt;=12,'前提'!$B$95,IF(44&lt;=18,'前提'!$B$96,IF(44&lt;=24,'前提'!$B$97,IF(44&lt;=36,'前提'!$B$98,IF(44&lt;=48,'前提'!$B$99,'前提'!$B$100)))))))+IF(44&gt;=7,CEILING(AS14/'前提'!$B$29,1),0)+IF(44&gt;=7,CEILING(AS14/'前提'!$B$30,1),0)+IF(44&gt;=7,CEILING(AS10/'前提'!$B$31,1),0))*'前提'!$B$49</f>
        <v/>
      </c>
      <c r="AT44" s="5">
        <f>(1+IF(45&lt;=6,'前提'!$B$36/160,IF(45&lt;=12,'前提'!$B$37/160,(IF(45&lt;=6,'前提'!$B$85,IF(45&lt;=12,'前提'!$B$86,IF(45&lt;=18,'前提'!$B$87,IF(45&lt;=24,'前提'!$B$88,IF(45&lt;=36,'前提'!$B$89,IF(45&lt;=48,'前提'!$B$90,'前提'!$B$91)))))))))+(IF(45&lt;=6,'前提'!$B$94,IF(45&lt;=12,'前提'!$B$95,IF(45&lt;=18,'前提'!$B$96,IF(45&lt;=24,'前提'!$B$97,IF(45&lt;=36,'前提'!$B$98,IF(45&lt;=48,'前提'!$B$99,'前提'!$B$100)))))))+IF(45&gt;=7,CEILING(AT14/'前提'!$B$29,1),0)+IF(45&gt;=7,CEILING(AT14/'前提'!$B$30,1),0)+IF(45&gt;=7,CEILING(AT10/'前提'!$B$31,1),0))*'前提'!$B$49</f>
        <v/>
      </c>
      <c r="AU44" s="5">
        <f>(1+IF(46&lt;=6,'前提'!$B$36/160,IF(46&lt;=12,'前提'!$B$37/160,(IF(46&lt;=6,'前提'!$B$85,IF(46&lt;=12,'前提'!$B$86,IF(46&lt;=18,'前提'!$B$87,IF(46&lt;=24,'前提'!$B$88,IF(46&lt;=36,'前提'!$B$89,IF(46&lt;=48,'前提'!$B$90,'前提'!$B$91)))))))))+(IF(46&lt;=6,'前提'!$B$94,IF(46&lt;=12,'前提'!$B$95,IF(46&lt;=18,'前提'!$B$96,IF(46&lt;=24,'前提'!$B$97,IF(46&lt;=36,'前提'!$B$98,IF(46&lt;=48,'前提'!$B$99,'前提'!$B$100)))))))+IF(46&gt;=7,CEILING(AU14/'前提'!$B$29,1),0)+IF(46&gt;=7,CEILING(AU14/'前提'!$B$30,1),0)+IF(46&gt;=7,CEILING(AU10/'前提'!$B$31,1),0))*'前提'!$B$49</f>
        <v/>
      </c>
      <c r="AV44" s="5">
        <f>(1+IF(47&lt;=6,'前提'!$B$36/160,IF(47&lt;=12,'前提'!$B$37/160,(IF(47&lt;=6,'前提'!$B$85,IF(47&lt;=12,'前提'!$B$86,IF(47&lt;=18,'前提'!$B$87,IF(47&lt;=24,'前提'!$B$88,IF(47&lt;=36,'前提'!$B$89,IF(47&lt;=48,'前提'!$B$90,'前提'!$B$91)))))))))+(IF(47&lt;=6,'前提'!$B$94,IF(47&lt;=12,'前提'!$B$95,IF(47&lt;=18,'前提'!$B$96,IF(47&lt;=24,'前提'!$B$97,IF(47&lt;=36,'前提'!$B$98,IF(47&lt;=48,'前提'!$B$99,'前提'!$B$100)))))))+IF(47&gt;=7,CEILING(AV14/'前提'!$B$29,1),0)+IF(47&gt;=7,CEILING(AV14/'前提'!$B$30,1),0)+IF(47&gt;=7,CEILING(AV10/'前提'!$B$31,1),0))*'前提'!$B$49</f>
        <v/>
      </c>
      <c r="AW44" s="5">
        <f>(1+IF(48&lt;=6,'前提'!$B$36/160,IF(48&lt;=12,'前提'!$B$37/160,(IF(48&lt;=6,'前提'!$B$85,IF(48&lt;=12,'前提'!$B$86,IF(48&lt;=18,'前提'!$B$87,IF(48&lt;=24,'前提'!$B$88,IF(48&lt;=36,'前提'!$B$89,IF(48&lt;=48,'前提'!$B$90,'前提'!$B$91)))))))))+(IF(48&lt;=6,'前提'!$B$94,IF(48&lt;=12,'前提'!$B$95,IF(48&lt;=18,'前提'!$B$96,IF(48&lt;=24,'前提'!$B$97,IF(48&lt;=36,'前提'!$B$98,IF(48&lt;=48,'前提'!$B$99,'前提'!$B$100)))))))+IF(48&gt;=7,CEILING(AW14/'前提'!$B$29,1),0)+IF(48&gt;=7,CEILING(AW14/'前提'!$B$30,1),0)+IF(48&gt;=7,CEILING(AW10/'前提'!$B$31,1),0))*'前提'!$B$49</f>
        <v/>
      </c>
      <c r="AX44" s="5">
        <f>(1+IF(49&lt;=6,'前提'!$B$36/160,IF(49&lt;=12,'前提'!$B$37/160,(IF(49&lt;=6,'前提'!$B$85,IF(49&lt;=12,'前提'!$B$86,IF(49&lt;=18,'前提'!$B$87,IF(49&lt;=24,'前提'!$B$88,IF(49&lt;=36,'前提'!$B$89,IF(49&lt;=48,'前提'!$B$90,'前提'!$B$91)))))))))+(IF(49&lt;=6,'前提'!$B$94,IF(49&lt;=12,'前提'!$B$95,IF(49&lt;=18,'前提'!$B$96,IF(49&lt;=24,'前提'!$B$97,IF(49&lt;=36,'前提'!$B$98,IF(49&lt;=48,'前提'!$B$99,'前提'!$B$100)))))))+IF(49&gt;=7,CEILING(AX14/'前提'!$B$29,1),0)+IF(49&gt;=7,CEILING(AX14/'前提'!$B$30,1),0)+IF(49&gt;=7,CEILING(AX10/'前提'!$B$31,1),0))*'前提'!$B$49</f>
        <v/>
      </c>
      <c r="AY44" s="5">
        <f>(1+IF(50&lt;=6,'前提'!$B$36/160,IF(50&lt;=12,'前提'!$B$37/160,(IF(50&lt;=6,'前提'!$B$85,IF(50&lt;=12,'前提'!$B$86,IF(50&lt;=18,'前提'!$B$87,IF(50&lt;=24,'前提'!$B$88,IF(50&lt;=36,'前提'!$B$89,IF(50&lt;=48,'前提'!$B$90,'前提'!$B$91)))))))))+(IF(50&lt;=6,'前提'!$B$94,IF(50&lt;=12,'前提'!$B$95,IF(50&lt;=18,'前提'!$B$96,IF(50&lt;=24,'前提'!$B$97,IF(50&lt;=36,'前提'!$B$98,IF(50&lt;=48,'前提'!$B$99,'前提'!$B$100)))))))+IF(50&gt;=7,CEILING(AY14/'前提'!$B$29,1),0)+IF(50&gt;=7,CEILING(AY14/'前提'!$B$30,1),0)+IF(50&gt;=7,CEILING(AY10/'前提'!$B$31,1),0))*'前提'!$B$49</f>
        <v/>
      </c>
      <c r="AZ44" s="5">
        <f>(1+IF(51&lt;=6,'前提'!$B$36/160,IF(51&lt;=12,'前提'!$B$37/160,(IF(51&lt;=6,'前提'!$B$85,IF(51&lt;=12,'前提'!$B$86,IF(51&lt;=18,'前提'!$B$87,IF(51&lt;=24,'前提'!$B$88,IF(51&lt;=36,'前提'!$B$89,IF(51&lt;=48,'前提'!$B$90,'前提'!$B$91)))))))))+(IF(51&lt;=6,'前提'!$B$94,IF(51&lt;=12,'前提'!$B$95,IF(51&lt;=18,'前提'!$B$96,IF(51&lt;=24,'前提'!$B$97,IF(51&lt;=36,'前提'!$B$98,IF(51&lt;=48,'前提'!$B$99,'前提'!$B$100)))))))+IF(51&gt;=7,CEILING(AZ14/'前提'!$B$29,1),0)+IF(51&gt;=7,CEILING(AZ14/'前提'!$B$30,1),0)+IF(51&gt;=7,CEILING(AZ10/'前提'!$B$31,1),0))*'前提'!$B$49</f>
        <v/>
      </c>
      <c r="BA44" s="5">
        <f>(1+IF(52&lt;=6,'前提'!$B$36/160,IF(52&lt;=12,'前提'!$B$37/160,(IF(52&lt;=6,'前提'!$B$85,IF(52&lt;=12,'前提'!$B$86,IF(52&lt;=18,'前提'!$B$87,IF(52&lt;=24,'前提'!$B$88,IF(52&lt;=36,'前提'!$B$89,IF(52&lt;=48,'前提'!$B$90,'前提'!$B$91)))))))))+(IF(52&lt;=6,'前提'!$B$94,IF(52&lt;=12,'前提'!$B$95,IF(52&lt;=18,'前提'!$B$96,IF(52&lt;=24,'前提'!$B$97,IF(52&lt;=36,'前提'!$B$98,IF(52&lt;=48,'前提'!$B$99,'前提'!$B$100)))))))+IF(52&gt;=7,CEILING(BA14/'前提'!$B$29,1),0)+IF(52&gt;=7,CEILING(BA14/'前提'!$B$30,1),0)+IF(52&gt;=7,CEILING(BA10/'前提'!$B$31,1),0))*'前提'!$B$49</f>
        <v/>
      </c>
      <c r="BB44" s="5">
        <f>(1+IF(53&lt;=6,'前提'!$B$36/160,IF(53&lt;=12,'前提'!$B$37/160,(IF(53&lt;=6,'前提'!$B$85,IF(53&lt;=12,'前提'!$B$86,IF(53&lt;=18,'前提'!$B$87,IF(53&lt;=24,'前提'!$B$88,IF(53&lt;=36,'前提'!$B$89,IF(53&lt;=48,'前提'!$B$90,'前提'!$B$91)))))))))+(IF(53&lt;=6,'前提'!$B$94,IF(53&lt;=12,'前提'!$B$95,IF(53&lt;=18,'前提'!$B$96,IF(53&lt;=24,'前提'!$B$97,IF(53&lt;=36,'前提'!$B$98,IF(53&lt;=48,'前提'!$B$99,'前提'!$B$100)))))))+IF(53&gt;=7,CEILING(BB14/'前提'!$B$29,1),0)+IF(53&gt;=7,CEILING(BB14/'前提'!$B$30,1),0)+IF(53&gt;=7,CEILING(BB10/'前提'!$B$31,1),0))*'前提'!$B$49</f>
        <v/>
      </c>
      <c r="BC44" s="5">
        <f>(1+IF(54&lt;=6,'前提'!$B$36/160,IF(54&lt;=12,'前提'!$B$37/160,(IF(54&lt;=6,'前提'!$B$85,IF(54&lt;=12,'前提'!$B$86,IF(54&lt;=18,'前提'!$B$87,IF(54&lt;=24,'前提'!$B$88,IF(54&lt;=36,'前提'!$B$89,IF(54&lt;=48,'前提'!$B$90,'前提'!$B$91)))))))))+(IF(54&lt;=6,'前提'!$B$94,IF(54&lt;=12,'前提'!$B$95,IF(54&lt;=18,'前提'!$B$96,IF(54&lt;=24,'前提'!$B$97,IF(54&lt;=36,'前提'!$B$98,IF(54&lt;=48,'前提'!$B$99,'前提'!$B$100)))))))+IF(54&gt;=7,CEILING(BC14/'前提'!$B$29,1),0)+IF(54&gt;=7,CEILING(BC14/'前提'!$B$30,1),0)+IF(54&gt;=7,CEILING(BC10/'前提'!$B$31,1),0))*'前提'!$B$49</f>
        <v/>
      </c>
      <c r="BD44" s="5">
        <f>(1+IF(55&lt;=6,'前提'!$B$36/160,IF(55&lt;=12,'前提'!$B$37/160,(IF(55&lt;=6,'前提'!$B$85,IF(55&lt;=12,'前提'!$B$86,IF(55&lt;=18,'前提'!$B$87,IF(55&lt;=24,'前提'!$B$88,IF(55&lt;=36,'前提'!$B$89,IF(55&lt;=48,'前提'!$B$90,'前提'!$B$91)))))))))+(IF(55&lt;=6,'前提'!$B$94,IF(55&lt;=12,'前提'!$B$95,IF(55&lt;=18,'前提'!$B$96,IF(55&lt;=24,'前提'!$B$97,IF(55&lt;=36,'前提'!$B$98,IF(55&lt;=48,'前提'!$B$99,'前提'!$B$100)))))))+IF(55&gt;=7,CEILING(BD14/'前提'!$B$29,1),0)+IF(55&gt;=7,CEILING(BD14/'前提'!$B$30,1),0)+IF(55&gt;=7,CEILING(BD10/'前提'!$B$31,1),0))*'前提'!$B$49</f>
        <v/>
      </c>
      <c r="BE44" s="5">
        <f>(1+IF(56&lt;=6,'前提'!$B$36/160,IF(56&lt;=12,'前提'!$B$37/160,(IF(56&lt;=6,'前提'!$B$85,IF(56&lt;=12,'前提'!$B$86,IF(56&lt;=18,'前提'!$B$87,IF(56&lt;=24,'前提'!$B$88,IF(56&lt;=36,'前提'!$B$89,IF(56&lt;=48,'前提'!$B$90,'前提'!$B$91)))))))))+(IF(56&lt;=6,'前提'!$B$94,IF(56&lt;=12,'前提'!$B$95,IF(56&lt;=18,'前提'!$B$96,IF(56&lt;=24,'前提'!$B$97,IF(56&lt;=36,'前提'!$B$98,IF(56&lt;=48,'前提'!$B$99,'前提'!$B$100)))))))+IF(56&gt;=7,CEILING(BE14/'前提'!$B$29,1),0)+IF(56&gt;=7,CEILING(BE14/'前提'!$B$30,1),0)+IF(56&gt;=7,CEILING(BE10/'前提'!$B$31,1),0))*'前提'!$B$49</f>
        <v/>
      </c>
      <c r="BF44" s="5">
        <f>(1+IF(57&lt;=6,'前提'!$B$36/160,IF(57&lt;=12,'前提'!$B$37/160,(IF(57&lt;=6,'前提'!$B$85,IF(57&lt;=12,'前提'!$B$86,IF(57&lt;=18,'前提'!$B$87,IF(57&lt;=24,'前提'!$B$88,IF(57&lt;=36,'前提'!$B$89,IF(57&lt;=48,'前提'!$B$90,'前提'!$B$91)))))))))+(IF(57&lt;=6,'前提'!$B$94,IF(57&lt;=12,'前提'!$B$95,IF(57&lt;=18,'前提'!$B$96,IF(57&lt;=24,'前提'!$B$97,IF(57&lt;=36,'前提'!$B$98,IF(57&lt;=48,'前提'!$B$99,'前提'!$B$100)))))))+IF(57&gt;=7,CEILING(BF14/'前提'!$B$29,1),0)+IF(57&gt;=7,CEILING(BF14/'前提'!$B$30,1),0)+IF(57&gt;=7,CEILING(BF10/'前提'!$B$31,1),0))*'前提'!$B$49</f>
        <v/>
      </c>
      <c r="BG44" s="5">
        <f>(1+IF(58&lt;=6,'前提'!$B$36/160,IF(58&lt;=12,'前提'!$B$37/160,(IF(58&lt;=6,'前提'!$B$85,IF(58&lt;=12,'前提'!$B$86,IF(58&lt;=18,'前提'!$B$87,IF(58&lt;=24,'前提'!$B$88,IF(58&lt;=36,'前提'!$B$89,IF(58&lt;=48,'前提'!$B$90,'前提'!$B$91)))))))))+(IF(58&lt;=6,'前提'!$B$94,IF(58&lt;=12,'前提'!$B$95,IF(58&lt;=18,'前提'!$B$96,IF(58&lt;=24,'前提'!$B$97,IF(58&lt;=36,'前提'!$B$98,IF(58&lt;=48,'前提'!$B$99,'前提'!$B$100)))))))+IF(58&gt;=7,CEILING(BG14/'前提'!$B$29,1),0)+IF(58&gt;=7,CEILING(BG14/'前提'!$B$30,1),0)+IF(58&gt;=7,CEILING(BG10/'前提'!$B$31,1),0))*'前提'!$B$49</f>
        <v/>
      </c>
      <c r="BH44" s="5">
        <f>(1+IF(59&lt;=6,'前提'!$B$36/160,IF(59&lt;=12,'前提'!$B$37/160,(IF(59&lt;=6,'前提'!$B$85,IF(59&lt;=12,'前提'!$B$86,IF(59&lt;=18,'前提'!$B$87,IF(59&lt;=24,'前提'!$B$88,IF(59&lt;=36,'前提'!$B$89,IF(59&lt;=48,'前提'!$B$90,'前提'!$B$91)))))))))+(IF(59&lt;=6,'前提'!$B$94,IF(59&lt;=12,'前提'!$B$95,IF(59&lt;=18,'前提'!$B$96,IF(59&lt;=24,'前提'!$B$97,IF(59&lt;=36,'前提'!$B$98,IF(59&lt;=48,'前提'!$B$99,'前提'!$B$100)))))))+IF(59&gt;=7,CEILING(BH14/'前提'!$B$29,1),0)+IF(59&gt;=7,CEILING(BH14/'前提'!$B$30,1),0)+IF(59&gt;=7,CEILING(BH10/'前提'!$B$31,1),0))*'前提'!$B$49</f>
        <v/>
      </c>
      <c r="BI44" s="5">
        <f>(1+IF(60&lt;=6,'前提'!$B$36/160,IF(60&lt;=12,'前提'!$B$37/160,(IF(60&lt;=6,'前提'!$B$85,IF(60&lt;=12,'前提'!$B$86,IF(60&lt;=18,'前提'!$B$87,IF(60&lt;=24,'前提'!$B$88,IF(60&lt;=36,'前提'!$B$89,IF(60&lt;=48,'前提'!$B$90,'前提'!$B$91)))))))))+(IF(60&lt;=6,'前提'!$B$94,IF(60&lt;=12,'前提'!$B$95,IF(60&lt;=18,'前提'!$B$96,IF(60&lt;=24,'前提'!$B$97,IF(60&lt;=36,'前提'!$B$98,IF(60&lt;=48,'前提'!$B$99,'前提'!$B$100)))))))+IF(60&gt;=7,CEILING(BI14/'前提'!$B$29,1),0)+IF(60&gt;=7,CEILING(BI14/'前提'!$B$30,1),0)+IF(60&gt;=7,CEILING(BI10/'前提'!$B$31,1),0))*'前提'!$B$49</f>
        <v/>
      </c>
    </row>
    <row r="45">
      <c r="A45" t="inlineStr">
        <is>
          <t>通信費</t>
        </is>
      </c>
      <c r="B45" s="5">
        <f>'前提'!$B$50</f>
        <v/>
      </c>
      <c r="C45" s="5">
        <f>'前提'!$B$50</f>
        <v/>
      </c>
      <c r="D45" s="5">
        <f>'前提'!$B$50</f>
        <v/>
      </c>
      <c r="E45" s="5">
        <f>'前提'!$B$50</f>
        <v/>
      </c>
      <c r="F45" s="5">
        <f>'前提'!$B$50</f>
        <v/>
      </c>
      <c r="G45" s="5">
        <f>'前提'!$B$50</f>
        <v/>
      </c>
      <c r="H45" s="5">
        <f>'前提'!$B$50</f>
        <v/>
      </c>
      <c r="I45" s="5">
        <f>'前提'!$B$50</f>
        <v/>
      </c>
      <c r="J45" s="5">
        <f>'前提'!$B$50</f>
        <v/>
      </c>
      <c r="K45" s="5">
        <f>'前提'!$B$50</f>
        <v/>
      </c>
      <c r="L45" s="5">
        <f>'前提'!$B$50</f>
        <v/>
      </c>
      <c r="M45" s="5">
        <f>'前提'!$B$50</f>
        <v/>
      </c>
      <c r="N45" s="5">
        <f>'前提'!$B$50</f>
        <v/>
      </c>
      <c r="O45" s="5">
        <f>'前提'!$B$50</f>
        <v/>
      </c>
      <c r="P45" s="5">
        <f>'前提'!$B$50</f>
        <v/>
      </c>
      <c r="Q45" s="5">
        <f>'前提'!$B$50</f>
        <v/>
      </c>
      <c r="R45" s="5">
        <f>'前提'!$B$50</f>
        <v/>
      </c>
      <c r="S45" s="5">
        <f>'前提'!$B$50</f>
        <v/>
      </c>
      <c r="T45" s="5">
        <f>'前提'!$B$50</f>
        <v/>
      </c>
      <c r="U45" s="5">
        <f>'前提'!$B$50</f>
        <v/>
      </c>
      <c r="V45" s="5">
        <f>'前提'!$B$50</f>
        <v/>
      </c>
      <c r="W45" s="5">
        <f>'前提'!$B$50</f>
        <v/>
      </c>
      <c r="X45" s="5">
        <f>'前提'!$B$50</f>
        <v/>
      </c>
      <c r="Y45" s="5">
        <f>'前提'!$B$50</f>
        <v/>
      </c>
      <c r="Z45" s="5">
        <f>'前提'!$B$50</f>
        <v/>
      </c>
      <c r="AA45" s="5">
        <f>'前提'!$B$50</f>
        <v/>
      </c>
      <c r="AB45" s="5">
        <f>'前提'!$B$50</f>
        <v/>
      </c>
      <c r="AC45" s="5">
        <f>'前提'!$B$50</f>
        <v/>
      </c>
      <c r="AD45" s="5">
        <f>'前提'!$B$50</f>
        <v/>
      </c>
      <c r="AE45" s="5">
        <f>'前提'!$B$50</f>
        <v/>
      </c>
      <c r="AF45" s="5">
        <f>'前提'!$B$50</f>
        <v/>
      </c>
      <c r="AG45" s="5">
        <f>'前提'!$B$50</f>
        <v/>
      </c>
      <c r="AH45" s="5">
        <f>'前提'!$B$50</f>
        <v/>
      </c>
      <c r="AI45" s="5">
        <f>'前提'!$B$50</f>
        <v/>
      </c>
      <c r="AJ45" s="5">
        <f>'前提'!$B$50</f>
        <v/>
      </c>
      <c r="AK45" s="5">
        <f>'前提'!$B$50</f>
        <v/>
      </c>
      <c r="AL45" s="5">
        <f>'前提'!$B$50</f>
        <v/>
      </c>
      <c r="AM45" s="5">
        <f>'前提'!$B$50</f>
        <v/>
      </c>
      <c r="AN45" s="5">
        <f>'前提'!$B$50</f>
        <v/>
      </c>
      <c r="AO45" s="5">
        <f>'前提'!$B$50</f>
        <v/>
      </c>
      <c r="AP45" s="5">
        <f>'前提'!$B$50</f>
        <v/>
      </c>
      <c r="AQ45" s="5">
        <f>'前提'!$B$50</f>
        <v/>
      </c>
      <c r="AR45" s="5">
        <f>'前提'!$B$50</f>
        <v/>
      </c>
      <c r="AS45" s="5">
        <f>'前提'!$B$50</f>
        <v/>
      </c>
      <c r="AT45" s="5">
        <f>'前提'!$B$50</f>
        <v/>
      </c>
      <c r="AU45" s="5">
        <f>'前提'!$B$50</f>
        <v/>
      </c>
      <c r="AV45" s="5">
        <f>'前提'!$B$50</f>
        <v/>
      </c>
      <c r="AW45" s="5">
        <f>'前提'!$B$50</f>
        <v/>
      </c>
      <c r="AX45" s="5">
        <f>'前提'!$B$50</f>
        <v/>
      </c>
      <c r="AY45" s="5">
        <f>'前提'!$B$50</f>
        <v/>
      </c>
      <c r="AZ45" s="5">
        <f>'前提'!$B$50</f>
        <v/>
      </c>
      <c r="BA45" s="5">
        <f>'前提'!$B$50</f>
        <v/>
      </c>
      <c r="BB45" s="5">
        <f>'前提'!$B$50</f>
        <v/>
      </c>
      <c r="BC45" s="5">
        <f>'前提'!$B$50</f>
        <v/>
      </c>
      <c r="BD45" s="5">
        <f>'前提'!$B$50</f>
        <v/>
      </c>
      <c r="BE45" s="5">
        <f>'前提'!$B$50</f>
        <v/>
      </c>
      <c r="BF45" s="5">
        <f>'前提'!$B$50</f>
        <v/>
      </c>
      <c r="BG45" s="5">
        <f>'前提'!$B$50</f>
        <v/>
      </c>
      <c r="BH45" s="5">
        <f>'前提'!$B$50</f>
        <v/>
      </c>
      <c r="BI45" s="5">
        <f>'前提'!$B$50</f>
        <v/>
      </c>
    </row>
    <row r="46">
      <c r="A46" t="inlineStr">
        <is>
          <t>会計顧問</t>
        </is>
      </c>
      <c r="B46" s="5">
        <f>'前提'!$B$51</f>
        <v/>
      </c>
      <c r="C46" s="5">
        <f>'前提'!$B$51</f>
        <v/>
      </c>
      <c r="D46" s="5">
        <f>'前提'!$B$51</f>
        <v/>
      </c>
      <c r="E46" s="5">
        <f>'前提'!$B$51</f>
        <v/>
      </c>
      <c r="F46" s="5">
        <f>'前提'!$B$51</f>
        <v/>
      </c>
      <c r="G46" s="5">
        <f>'前提'!$B$51</f>
        <v/>
      </c>
      <c r="H46" s="5">
        <f>'前提'!$B$51</f>
        <v/>
      </c>
      <c r="I46" s="5">
        <f>'前提'!$B$51</f>
        <v/>
      </c>
      <c r="J46" s="5">
        <f>'前提'!$B$51</f>
        <v/>
      </c>
      <c r="K46" s="5">
        <f>'前提'!$B$51</f>
        <v/>
      </c>
      <c r="L46" s="5">
        <f>'前提'!$B$51</f>
        <v/>
      </c>
      <c r="M46" s="5">
        <f>'前提'!$B$51</f>
        <v/>
      </c>
      <c r="N46" s="5">
        <f>'前提'!$B$51</f>
        <v/>
      </c>
      <c r="O46" s="5">
        <f>'前提'!$B$51</f>
        <v/>
      </c>
      <c r="P46" s="5">
        <f>'前提'!$B$51</f>
        <v/>
      </c>
      <c r="Q46" s="5">
        <f>'前提'!$B$51</f>
        <v/>
      </c>
      <c r="R46" s="5">
        <f>'前提'!$B$51</f>
        <v/>
      </c>
      <c r="S46" s="5">
        <f>'前提'!$B$51</f>
        <v/>
      </c>
      <c r="T46" s="5">
        <f>'前提'!$B$51</f>
        <v/>
      </c>
      <c r="U46" s="5">
        <f>'前提'!$B$51</f>
        <v/>
      </c>
      <c r="V46" s="5">
        <f>'前提'!$B$51</f>
        <v/>
      </c>
      <c r="W46" s="5">
        <f>'前提'!$B$51</f>
        <v/>
      </c>
      <c r="X46" s="5">
        <f>'前提'!$B$51</f>
        <v/>
      </c>
      <c r="Y46" s="5">
        <f>'前提'!$B$51</f>
        <v/>
      </c>
      <c r="Z46" s="5">
        <f>'前提'!$B$51</f>
        <v/>
      </c>
      <c r="AA46" s="5">
        <f>'前提'!$B$51</f>
        <v/>
      </c>
      <c r="AB46" s="5">
        <f>'前提'!$B$51</f>
        <v/>
      </c>
      <c r="AC46" s="5">
        <f>'前提'!$B$51</f>
        <v/>
      </c>
      <c r="AD46" s="5">
        <f>'前提'!$B$51</f>
        <v/>
      </c>
      <c r="AE46" s="5">
        <f>'前提'!$B$51</f>
        <v/>
      </c>
      <c r="AF46" s="5">
        <f>'前提'!$B$51</f>
        <v/>
      </c>
      <c r="AG46" s="5">
        <f>'前提'!$B$51</f>
        <v/>
      </c>
      <c r="AH46" s="5">
        <f>'前提'!$B$51</f>
        <v/>
      </c>
      <c r="AI46" s="5">
        <f>'前提'!$B$51</f>
        <v/>
      </c>
      <c r="AJ46" s="5">
        <f>'前提'!$B$51</f>
        <v/>
      </c>
      <c r="AK46" s="5">
        <f>'前提'!$B$51</f>
        <v/>
      </c>
      <c r="AL46" s="5">
        <f>'前提'!$B$51</f>
        <v/>
      </c>
      <c r="AM46" s="5">
        <f>'前提'!$B$51</f>
        <v/>
      </c>
      <c r="AN46" s="5">
        <f>'前提'!$B$51</f>
        <v/>
      </c>
      <c r="AO46" s="5">
        <f>'前提'!$B$51</f>
        <v/>
      </c>
      <c r="AP46" s="5">
        <f>'前提'!$B$51</f>
        <v/>
      </c>
      <c r="AQ46" s="5">
        <f>'前提'!$B$51</f>
        <v/>
      </c>
      <c r="AR46" s="5">
        <f>'前提'!$B$51</f>
        <v/>
      </c>
      <c r="AS46" s="5">
        <f>'前提'!$B$51</f>
        <v/>
      </c>
      <c r="AT46" s="5">
        <f>'前提'!$B$51</f>
        <v/>
      </c>
      <c r="AU46" s="5">
        <f>'前提'!$B$51</f>
        <v/>
      </c>
      <c r="AV46" s="5">
        <f>'前提'!$B$51</f>
        <v/>
      </c>
      <c r="AW46" s="5">
        <f>'前提'!$B$51</f>
        <v/>
      </c>
      <c r="AX46" s="5">
        <f>'前提'!$B$51</f>
        <v/>
      </c>
      <c r="AY46" s="5">
        <f>'前提'!$B$51</f>
        <v/>
      </c>
      <c r="AZ46" s="5">
        <f>'前提'!$B$51</f>
        <v/>
      </c>
      <c r="BA46" s="5">
        <f>'前提'!$B$51</f>
        <v/>
      </c>
      <c r="BB46" s="5">
        <f>'前提'!$B$51</f>
        <v/>
      </c>
      <c r="BC46" s="5">
        <f>'前提'!$B$51</f>
        <v/>
      </c>
      <c r="BD46" s="5">
        <f>'前提'!$B$51</f>
        <v/>
      </c>
      <c r="BE46" s="5">
        <f>'前提'!$B$51</f>
        <v/>
      </c>
      <c r="BF46" s="5">
        <f>'前提'!$B$51</f>
        <v/>
      </c>
      <c r="BG46" s="5">
        <f>'前提'!$B$51</f>
        <v/>
      </c>
      <c r="BH46" s="5">
        <f>'前提'!$B$51</f>
        <v/>
      </c>
      <c r="BI46" s="5">
        <f>'前提'!$B$51</f>
        <v/>
      </c>
    </row>
    <row r="47">
      <c r="A47" t="inlineStr">
        <is>
          <t>弁護士・法務</t>
        </is>
      </c>
      <c r="B47" s="5">
        <f>'前提'!$B$52</f>
        <v/>
      </c>
      <c r="C47" s="5">
        <f>'前提'!$B$52</f>
        <v/>
      </c>
      <c r="D47" s="5">
        <f>'前提'!$B$52</f>
        <v/>
      </c>
      <c r="E47" s="5">
        <f>'前提'!$B$52</f>
        <v/>
      </c>
      <c r="F47" s="5">
        <f>'前提'!$B$52</f>
        <v/>
      </c>
      <c r="G47" s="5">
        <f>'前提'!$B$52</f>
        <v/>
      </c>
      <c r="H47" s="5">
        <f>'前提'!$B$52</f>
        <v/>
      </c>
      <c r="I47" s="5">
        <f>'前提'!$B$52</f>
        <v/>
      </c>
      <c r="J47" s="5">
        <f>'前提'!$B$52</f>
        <v/>
      </c>
      <c r="K47" s="5">
        <f>'前提'!$B$52</f>
        <v/>
      </c>
      <c r="L47" s="5">
        <f>'前提'!$B$52</f>
        <v/>
      </c>
      <c r="M47" s="5">
        <f>'前提'!$B$52</f>
        <v/>
      </c>
      <c r="N47" s="5">
        <f>'前提'!$B$52</f>
        <v/>
      </c>
      <c r="O47" s="5">
        <f>'前提'!$B$52</f>
        <v/>
      </c>
      <c r="P47" s="5">
        <f>'前提'!$B$52</f>
        <v/>
      </c>
      <c r="Q47" s="5">
        <f>'前提'!$B$52</f>
        <v/>
      </c>
      <c r="R47" s="5">
        <f>'前提'!$B$52</f>
        <v/>
      </c>
      <c r="S47" s="5">
        <f>'前提'!$B$52</f>
        <v/>
      </c>
      <c r="T47" s="5">
        <f>'前提'!$B$52</f>
        <v/>
      </c>
      <c r="U47" s="5">
        <f>'前提'!$B$52</f>
        <v/>
      </c>
      <c r="V47" s="5">
        <f>'前提'!$B$52</f>
        <v/>
      </c>
      <c r="W47" s="5">
        <f>'前提'!$B$52</f>
        <v/>
      </c>
      <c r="X47" s="5">
        <f>'前提'!$B$52</f>
        <v/>
      </c>
      <c r="Y47" s="5">
        <f>'前提'!$B$52</f>
        <v/>
      </c>
      <c r="Z47" s="5">
        <f>'前提'!$B$52</f>
        <v/>
      </c>
      <c r="AA47" s="5">
        <f>'前提'!$B$52</f>
        <v/>
      </c>
      <c r="AB47" s="5">
        <f>'前提'!$B$52</f>
        <v/>
      </c>
      <c r="AC47" s="5">
        <f>'前提'!$B$52</f>
        <v/>
      </c>
      <c r="AD47" s="5">
        <f>'前提'!$B$52</f>
        <v/>
      </c>
      <c r="AE47" s="5">
        <f>'前提'!$B$52</f>
        <v/>
      </c>
      <c r="AF47" s="5">
        <f>'前提'!$B$52</f>
        <v/>
      </c>
      <c r="AG47" s="5">
        <f>'前提'!$B$52</f>
        <v/>
      </c>
      <c r="AH47" s="5">
        <f>'前提'!$B$52</f>
        <v/>
      </c>
      <c r="AI47" s="5">
        <f>'前提'!$B$52</f>
        <v/>
      </c>
      <c r="AJ47" s="5">
        <f>'前提'!$B$52</f>
        <v/>
      </c>
      <c r="AK47" s="5">
        <f>'前提'!$B$52</f>
        <v/>
      </c>
      <c r="AL47" s="5">
        <f>'前提'!$B$52</f>
        <v/>
      </c>
      <c r="AM47" s="5">
        <f>'前提'!$B$52</f>
        <v/>
      </c>
      <c r="AN47" s="5">
        <f>'前提'!$B$52</f>
        <v/>
      </c>
      <c r="AO47" s="5">
        <f>'前提'!$B$52</f>
        <v/>
      </c>
      <c r="AP47" s="5">
        <f>'前提'!$B$52</f>
        <v/>
      </c>
      <c r="AQ47" s="5">
        <f>'前提'!$B$52</f>
        <v/>
      </c>
      <c r="AR47" s="5">
        <f>'前提'!$B$52</f>
        <v/>
      </c>
      <c r="AS47" s="5">
        <f>'前提'!$B$52</f>
        <v/>
      </c>
      <c r="AT47" s="5">
        <f>'前提'!$B$52</f>
        <v/>
      </c>
      <c r="AU47" s="5">
        <f>'前提'!$B$52</f>
        <v/>
      </c>
      <c r="AV47" s="5">
        <f>'前提'!$B$52</f>
        <v/>
      </c>
      <c r="AW47" s="5">
        <f>'前提'!$B$52</f>
        <v/>
      </c>
      <c r="AX47" s="5">
        <f>'前提'!$B$52</f>
        <v/>
      </c>
      <c r="AY47" s="5">
        <f>'前提'!$B$52</f>
        <v/>
      </c>
      <c r="AZ47" s="5">
        <f>'前提'!$B$52</f>
        <v/>
      </c>
      <c r="BA47" s="5">
        <f>'前提'!$B$52</f>
        <v/>
      </c>
      <c r="BB47" s="5">
        <f>'前提'!$B$52</f>
        <v/>
      </c>
      <c r="BC47" s="5">
        <f>'前提'!$B$52</f>
        <v/>
      </c>
      <c r="BD47" s="5">
        <f>'前提'!$B$52</f>
        <v/>
      </c>
      <c r="BE47" s="5">
        <f>'前提'!$B$52</f>
        <v/>
      </c>
      <c r="BF47" s="5">
        <f>'前提'!$B$52</f>
        <v/>
      </c>
      <c r="BG47" s="5">
        <f>'前提'!$B$52</f>
        <v/>
      </c>
      <c r="BH47" s="5">
        <f>'前提'!$B$52</f>
        <v/>
      </c>
      <c r="BI47" s="5">
        <f>'前提'!$B$52</f>
        <v/>
      </c>
    </row>
    <row r="48">
      <c r="A48" t="inlineStr">
        <is>
          <t>情報セキュリティ保険</t>
        </is>
      </c>
      <c r="B48" s="5">
        <f>'前提'!$B$53</f>
        <v/>
      </c>
      <c r="C48" s="5">
        <f>'前提'!$B$53</f>
        <v/>
      </c>
      <c r="D48" s="5">
        <f>'前提'!$B$53</f>
        <v/>
      </c>
      <c r="E48" s="5">
        <f>'前提'!$B$53</f>
        <v/>
      </c>
      <c r="F48" s="5">
        <f>'前提'!$B$53</f>
        <v/>
      </c>
      <c r="G48" s="5">
        <f>'前提'!$B$53</f>
        <v/>
      </c>
      <c r="H48" s="5">
        <f>'前提'!$B$53</f>
        <v/>
      </c>
      <c r="I48" s="5">
        <f>'前提'!$B$53</f>
        <v/>
      </c>
      <c r="J48" s="5">
        <f>'前提'!$B$53</f>
        <v/>
      </c>
      <c r="K48" s="5">
        <f>'前提'!$B$53</f>
        <v/>
      </c>
      <c r="L48" s="5">
        <f>'前提'!$B$53</f>
        <v/>
      </c>
      <c r="M48" s="5">
        <f>'前提'!$B$53</f>
        <v/>
      </c>
      <c r="N48" s="5">
        <f>'前提'!$B$53</f>
        <v/>
      </c>
      <c r="O48" s="5">
        <f>'前提'!$B$53</f>
        <v/>
      </c>
      <c r="P48" s="5">
        <f>'前提'!$B$53</f>
        <v/>
      </c>
      <c r="Q48" s="5">
        <f>'前提'!$B$53</f>
        <v/>
      </c>
      <c r="R48" s="5">
        <f>'前提'!$B$53</f>
        <v/>
      </c>
      <c r="S48" s="5">
        <f>'前提'!$B$53</f>
        <v/>
      </c>
      <c r="T48" s="5">
        <f>'前提'!$B$53</f>
        <v/>
      </c>
      <c r="U48" s="5">
        <f>'前提'!$B$53</f>
        <v/>
      </c>
      <c r="V48" s="5">
        <f>'前提'!$B$53</f>
        <v/>
      </c>
      <c r="W48" s="5">
        <f>'前提'!$B$53</f>
        <v/>
      </c>
      <c r="X48" s="5">
        <f>'前提'!$B$53</f>
        <v/>
      </c>
      <c r="Y48" s="5">
        <f>'前提'!$B$53</f>
        <v/>
      </c>
      <c r="Z48" s="5">
        <f>'前提'!$B$53</f>
        <v/>
      </c>
      <c r="AA48" s="5">
        <f>'前提'!$B$53</f>
        <v/>
      </c>
      <c r="AB48" s="5">
        <f>'前提'!$B$53</f>
        <v/>
      </c>
      <c r="AC48" s="5">
        <f>'前提'!$B$53</f>
        <v/>
      </c>
      <c r="AD48" s="5">
        <f>'前提'!$B$53</f>
        <v/>
      </c>
      <c r="AE48" s="5">
        <f>'前提'!$B$53</f>
        <v/>
      </c>
      <c r="AF48" s="5">
        <f>'前提'!$B$53</f>
        <v/>
      </c>
      <c r="AG48" s="5">
        <f>'前提'!$B$53</f>
        <v/>
      </c>
      <c r="AH48" s="5">
        <f>'前提'!$B$53</f>
        <v/>
      </c>
      <c r="AI48" s="5">
        <f>'前提'!$B$53</f>
        <v/>
      </c>
      <c r="AJ48" s="5">
        <f>'前提'!$B$53</f>
        <v/>
      </c>
      <c r="AK48" s="5">
        <f>'前提'!$B$53</f>
        <v/>
      </c>
      <c r="AL48" s="5">
        <f>'前提'!$B$53</f>
        <v/>
      </c>
      <c r="AM48" s="5">
        <f>'前提'!$B$53</f>
        <v/>
      </c>
      <c r="AN48" s="5">
        <f>'前提'!$B$53</f>
        <v/>
      </c>
      <c r="AO48" s="5">
        <f>'前提'!$B$53</f>
        <v/>
      </c>
      <c r="AP48" s="5">
        <f>'前提'!$B$53</f>
        <v/>
      </c>
      <c r="AQ48" s="5">
        <f>'前提'!$B$53</f>
        <v/>
      </c>
      <c r="AR48" s="5">
        <f>'前提'!$B$53</f>
        <v/>
      </c>
      <c r="AS48" s="5">
        <f>'前提'!$B$53</f>
        <v/>
      </c>
      <c r="AT48" s="5">
        <f>'前提'!$B$53</f>
        <v/>
      </c>
      <c r="AU48" s="5">
        <f>'前提'!$B$53</f>
        <v/>
      </c>
      <c r="AV48" s="5">
        <f>'前提'!$B$53</f>
        <v/>
      </c>
      <c r="AW48" s="5">
        <f>'前提'!$B$53</f>
        <v/>
      </c>
      <c r="AX48" s="5">
        <f>'前提'!$B$53</f>
        <v/>
      </c>
      <c r="AY48" s="5">
        <f>'前提'!$B$53</f>
        <v/>
      </c>
      <c r="AZ48" s="5">
        <f>'前提'!$B$53</f>
        <v/>
      </c>
      <c r="BA48" s="5">
        <f>'前提'!$B$53</f>
        <v/>
      </c>
      <c r="BB48" s="5">
        <f>'前提'!$B$53</f>
        <v/>
      </c>
      <c r="BC48" s="5">
        <f>'前提'!$B$53</f>
        <v/>
      </c>
      <c r="BD48" s="5">
        <f>'前提'!$B$53</f>
        <v/>
      </c>
      <c r="BE48" s="5">
        <f>'前提'!$B$53</f>
        <v/>
      </c>
      <c r="BF48" s="5">
        <f>'前提'!$B$53</f>
        <v/>
      </c>
      <c r="BG48" s="5">
        <f>'前提'!$B$53</f>
        <v/>
      </c>
      <c r="BH48" s="5">
        <f>'前提'!$B$53</f>
        <v/>
      </c>
      <c r="BI48" s="5">
        <f>'前提'!$B$53</f>
        <v/>
      </c>
    </row>
    <row r="49">
      <c r="A49" t="inlineStr">
        <is>
          <t>広告宣伝費（Phase別）</t>
        </is>
      </c>
      <c r="B49" s="5">
        <f>IF(1&lt;=6,'前提'!$B$76,IF(1&lt;=12,'前提'!$B$77,IF(1&lt;=18,'前提'!$B$78,IF(1&lt;=24,'前提'!$B$79,IF(1&lt;=36,'前提'!$B$80,IF(1&lt;=48,'前提'!$B$81,'前提'!$B$82))))))</f>
        <v/>
      </c>
      <c r="C49" s="5">
        <f>IF(2&lt;=6,'前提'!$B$76,IF(2&lt;=12,'前提'!$B$77,IF(2&lt;=18,'前提'!$B$78,IF(2&lt;=24,'前提'!$B$79,IF(2&lt;=36,'前提'!$B$80,IF(2&lt;=48,'前提'!$B$81,'前提'!$B$82))))))</f>
        <v/>
      </c>
      <c r="D49" s="5">
        <f>IF(3&lt;=6,'前提'!$B$76,IF(3&lt;=12,'前提'!$B$77,IF(3&lt;=18,'前提'!$B$78,IF(3&lt;=24,'前提'!$B$79,IF(3&lt;=36,'前提'!$B$80,IF(3&lt;=48,'前提'!$B$81,'前提'!$B$82))))))</f>
        <v/>
      </c>
      <c r="E49" s="5">
        <f>IF(4&lt;=6,'前提'!$B$76,IF(4&lt;=12,'前提'!$B$77,IF(4&lt;=18,'前提'!$B$78,IF(4&lt;=24,'前提'!$B$79,IF(4&lt;=36,'前提'!$B$80,IF(4&lt;=48,'前提'!$B$81,'前提'!$B$82))))))</f>
        <v/>
      </c>
      <c r="F49" s="5">
        <f>IF(5&lt;=6,'前提'!$B$76,IF(5&lt;=12,'前提'!$B$77,IF(5&lt;=18,'前提'!$B$78,IF(5&lt;=24,'前提'!$B$79,IF(5&lt;=36,'前提'!$B$80,IF(5&lt;=48,'前提'!$B$81,'前提'!$B$82))))))</f>
        <v/>
      </c>
      <c r="G49" s="5">
        <f>IF(6&lt;=6,'前提'!$B$76,IF(6&lt;=12,'前提'!$B$77,IF(6&lt;=18,'前提'!$B$78,IF(6&lt;=24,'前提'!$B$79,IF(6&lt;=36,'前提'!$B$80,IF(6&lt;=48,'前提'!$B$81,'前提'!$B$82))))))</f>
        <v/>
      </c>
      <c r="H49" s="5">
        <f>IF(7&lt;=6,'前提'!$B$76,IF(7&lt;=12,'前提'!$B$77,IF(7&lt;=18,'前提'!$B$78,IF(7&lt;=24,'前提'!$B$79,IF(7&lt;=36,'前提'!$B$80,IF(7&lt;=48,'前提'!$B$81,'前提'!$B$82))))))</f>
        <v/>
      </c>
      <c r="I49" s="5">
        <f>IF(8&lt;=6,'前提'!$B$76,IF(8&lt;=12,'前提'!$B$77,IF(8&lt;=18,'前提'!$B$78,IF(8&lt;=24,'前提'!$B$79,IF(8&lt;=36,'前提'!$B$80,IF(8&lt;=48,'前提'!$B$81,'前提'!$B$82))))))</f>
        <v/>
      </c>
      <c r="J49" s="5">
        <f>IF(9&lt;=6,'前提'!$B$76,IF(9&lt;=12,'前提'!$B$77,IF(9&lt;=18,'前提'!$B$78,IF(9&lt;=24,'前提'!$B$79,IF(9&lt;=36,'前提'!$B$80,IF(9&lt;=48,'前提'!$B$81,'前提'!$B$82))))))</f>
        <v/>
      </c>
      <c r="K49" s="5">
        <f>IF(10&lt;=6,'前提'!$B$76,IF(10&lt;=12,'前提'!$B$77,IF(10&lt;=18,'前提'!$B$78,IF(10&lt;=24,'前提'!$B$79,IF(10&lt;=36,'前提'!$B$80,IF(10&lt;=48,'前提'!$B$81,'前提'!$B$82))))))</f>
        <v/>
      </c>
      <c r="L49" s="5">
        <f>IF(11&lt;=6,'前提'!$B$76,IF(11&lt;=12,'前提'!$B$77,IF(11&lt;=18,'前提'!$B$78,IF(11&lt;=24,'前提'!$B$79,IF(11&lt;=36,'前提'!$B$80,IF(11&lt;=48,'前提'!$B$81,'前提'!$B$82))))))</f>
        <v/>
      </c>
      <c r="M49" s="5">
        <f>IF(12&lt;=6,'前提'!$B$76,IF(12&lt;=12,'前提'!$B$77,IF(12&lt;=18,'前提'!$B$78,IF(12&lt;=24,'前提'!$B$79,IF(12&lt;=36,'前提'!$B$80,IF(12&lt;=48,'前提'!$B$81,'前提'!$B$82))))))</f>
        <v/>
      </c>
      <c r="N49" s="5">
        <f>IF(13&lt;=6,'前提'!$B$76,IF(13&lt;=12,'前提'!$B$77,IF(13&lt;=18,'前提'!$B$78,IF(13&lt;=24,'前提'!$B$79,IF(13&lt;=36,'前提'!$B$80,IF(13&lt;=48,'前提'!$B$81,'前提'!$B$82))))))</f>
        <v/>
      </c>
      <c r="O49" s="5">
        <f>IF(14&lt;=6,'前提'!$B$76,IF(14&lt;=12,'前提'!$B$77,IF(14&lt;=18,'前提'!$B$78,IF(14&lt;=24,'前提'!$B$79,IF(14&lt;=36,'前提'!$B$80,IF(14&lt;=48,'前提'!$B$81,'前提'!$B$82))))))</f>
        <v/>
      </c>
      <c r="P49" s="5">
        <f>IF(15&lt;=6,'前提'!$B$76,IF(15&lt;=12,'前提'!$B$77,IF(15&lt;=18,'前提'!$B$78,IF(15&lt;=24,'前提'!$B$79,IF(15&lt;=36,'前提'!$B$80,IF(15&lt;=48,'前提'!$B$81,'前提'!$B$82))))))</f>
        <v/>
      </c>
      <c r="Q49" s="5">
        <f>IF(16&lt;=6,'前提'!$B$76,IF(16&lt;=12,'前提'!$B$77,IF(16&lt;=18,'前提'!$B$78,IF(16&lt;=24,'前提'!$B$79,IF(16&lt;=36,'前提'!$B$80,IF(16&lt;=48,'前提'!$B$81,'前提'!$B$82))))))</f>
        <v/>
      </c>
      <c r="R49" s="5">
        <f>IF(17&lt;=6,'前提'!$B$76,IF(17&lt;=12,'前提'!$B$77,IF(17&lt;=18,'前提'!$B$78,IF(17&lt;=24,'前提'!$B$79,IF(17&lt;=36,'前提'!$B$80,IF(17&lt;=48,'前提'!$B$81,'前提'!$B$82))))))</f>
        <v/>
      </c>
      <c r="S49" s="5">
        <f>IF(18&lt;=6,'前提'!$B$76,IF(18&lt;=12,'前提'!$B$77,IF(18&lt;=18,'前提'!$B$78,IF(18&lt;=24,'前提'!$B$79,IF(18&lt;=36,'前提'!$B$80,IF(18&lt;=48,'前提'!$B$81,'前提'!$B$82))))))</f>
        <v/>
      </c>
      <c r="T49" s="5">
        <f>IF(19&lt;=6,'前提'!$B$76,IF(19&lt;=12,'前提'!$B$77,IF(19&lt;=18,'前提'!$B$78,IF(19&lt;=24,'前提'!$B$79,IF(19&lt;=36,'前提'!$B$80,IF(19&lt;=48,'前提'!$B$81,'前提'!$B$82))))))</f>
        <v/>
      </c>
      <c r="U49" s="5">
        <f>IF(20&lt;=6,'前提'!$B$76,IF(20&lt;=12,'前提'!$B$77,IF(20&lt;=18,'前提'!$B$78,IF(20&lt;=24,'前提'!$B$79,IF(20&lt;=36,'前提'!$B$80,IF(20&lt;=48,'前提'!$B$81,'前提'!$B$82))))))</f>
        <v/>
      </c>
      <c r="V49" s="5">
        <f>IF(21&lt;=6,'前提'!$B$76,IF(21&lt;=12,'前提'!$B$77,IF(21&lt;=18,'前提'!$B$78,IF(21&lt;=24,'前提'!$B$79,IF(21&lt;=36,'前提'!$B$80,IF(21&lt;=48,'前提'!$B$81,'前提'!$B$82))))))</f>
        <v/>
      </c>
      <c r="W49" s="5">
        <f>IF(22&lt;=6,'前提'!$B$76,IF(22&lt;=12,'前提'!$B$77,IF(22&lt;=18,'前提'!$B$78,IF(22&lt;=24,'前提'!$B$79,IF(22&lt;=36,'前提'!$B$80,IF(22&lt;=48,'前提'!$B$81,'前提'!$B$82))))))</f>
        <v/>
      </c>
      <c r="X49" s="5">
        <f>IF(23&lt;=6,'前提'!$B$76,IF(23&lt;=12,'前提'!$B$77,IF(23&lt;=18,'前提'!$B$78,IF(23&lt;=24,'前提'!$B$79,IF(23&lt;=36,'前提'!$B$80,IF(23&lt;=48,'前提'!$B$81,'前提'!$B$82))))))</f>
        <v/>
      </c>
      <c r="Y49" s="5">
        <f>IF(24&lt;=6,'前提'!$B$76,IF(24&lt;=12,'前提'!$B$77,IF(24&lt;=18,'前提'!$B$78,IF(24&lt;=24,'前提'!$B$79,IF(24&lt;=36,'前提'!$B$80,IF(24&lt;=48,'前提'!$B$81,'前提'!$B$82))))))</f>
        <v/>
      </c>
      <c r="Z49" s="5">
        <f>IF(25&lt;=6,'前提'!$B$76,IF(25&lt;=12,'前提'!$B$77,IF(25&lt;=18,'前提'!$B$78,IF(25&lt;=24,'前提'!$B$79,IF(25&lt;=36,'前提'!$B$80,IF(25&lt;=48,'前提'!$B$81,'前提'!$B$82))))))</f>
        <v/>
      </c>
      <c r="AA49" s="5">
        <f>IF(26&lt;=6,'前提'!$B$76,IF(26&lt;=12,'前提'!$B$77,IF(26&lt;=18,'前提'!$B$78,IF(26&lt;=24,'前提'!$B$79,IF(26&lt;=36,'前提'!$B$80,IF(26&lt;=48,'前提'!$B$81,'前提'!$B$82))))))</f>
        <v/>
      </c>
      <c r="AB49" s="5">
        <f>IF(27&lt;=6,'前提'!$B$76,IF(27&lt;=12,'前提'!$B$77,IF(27&lt;=18,'前提'!$B$78,IF(27&lt;=24,'前提'!$B$79,IF(27&lt;=36,'前提'!$B$80,IF(27&lt;=48,'前提'!$B$81,'前提'!$B$82))))))</f>
        <v/>
      </c>
      <c r="AC49" s="5">
        <f>IF(28&lt;=6,'前提'!$B$76,IF(28&lt;=12,'前提'!$B$77,IF(28&lt;=18,'前提'!$B$78,IF(28&lt;=24,'前提'!$B$79,IF(28&lt;=36,'前提'!$B$80,IF(28&lt;=48,'前提'!$B$81,'前提'!$B$82))))))</f>
        <v/>
      </c>
      <c r="AD49" s="5">
        <f>IF(29&lt;=6,'前提'!$B$76,IF(29&lt;=12,'前提'!$B$77,IF(29&lt;=18,'前提'!$B$78,IF(29&lt;=24,'前提'!$B$79,IF(29&lt;=36,'前提'!$B$80,IF(29&lt;=48,'前提'!$B$81,'前提'!$B$82))))))</f>
        <v/>
      </c>
      <c r="AE49" s="5">
        <f>IF(30&lt;=6,'前提'!$B$76,IF(30&lt;=12,'前提'!$B$77,IF(30&lt;=18,'前提'!$B$78,IF(30&lt;=24,'前提'!$B$79,IF(30&lt;=36,'前提'!$B$80,IF(30&lt;=48,'前提'!$B$81,'前提'!$B$82))))))</f>
        <v/>
      </c>
      <c r="AF49" s="5">
        <f>IF(31&lt;=6,'前提'!$B$76,IF(31&lt;=12,'前提'!$B$77,IF(31&lt;=18,'前提'!$B$78,IF(31&lt;=24,'前提'!$B$79,IF(31&lt;=36,'前提'!$B$80,IF(31&lt;=48,'前提'!$B$81,'前提'!$B$82))))))</f>
        <v/>
      </c>
      <c r="AG49" s="5">
        <f>IF(32&lt;=6,'前提'!$B$76,IF(32&lt;=12,'前提'!$B$77,IF(32&lt;=18,'前提'!$B$78,IF(32&lt;=24,'前提'!$B$79,IF(32&lt;=36,'前提'!$B$80,IF(32&lt;=48,'前提'!$B$81,'前提'!$B$82))))))</f>
        <v/>
      </c>
      <c r="AH49" s="5">
        <f>IF(33&lt;=6,'前提'!$B$76,IF(33&lt;=12,'前提'!$B$77,IF(33&lt;=18,'前提'!$B$78,IF(33&lt;=24,'前提'!$B$79,IF(33&lt;=36,'前提'!$B$80,IF(33&lt;=48,'前提'!$B$81,'前提'!$B$82))))))</f>
        <v/>
      </c>
      <c r="AI49" s="5">
        <f>IF(34&lt;=6,'前提'!$B$76,IF(34&lt;=12,'前提'!$B$77,IF(34&lt;=18,'前提'!$B$78,IF(34&lt;=24,'前提'!$B$79,IF(34&lt;=36,'前提'!$B$80,IF(34&lt;=48,'前提'!$B$81,'前提'!$B$82))))))</f>
        <v/>
      </c>
      <c r="AJ49" s="5">
        <f>IF(35&lt;=6,'前提'!$B$76,IF(35&lt;=12,'前提'!$B$77,IF(35&lt;=18,'前提'!$B$78,IF(35&lt;=24,'前提'!$B$79,IF(35&lt;=36,'前提'!$B$80,IF(35&lt;=48,'前提'!$B$81,'前提'!$B$82))))))</f>
        <v/>
      </c>
      <c r="AK49" s="5">
        <f>IF(36&lt;=6,'前提'!$B$76,IF(36&lt;=12,'前提'!$B$77,IF(36&lt;=18,'前提'!$B$78,IF(36&lt;=24,'前提'!$B$79,IF(36&lt;=36,'前提'!$B$80,IF(36&lt;=48,'前提'!$B$81,'前提'!$B$82))))))</f>
        <v/>
      </c>
      <c r="AL49" s="5">
        <f>IF(37&lt;=6,'前提'!$B$76,IF(37&lt;=12,'前提'!$B$77,IF(37&lt;=18,'前提'!$B$78,IF(37&lt;=24,'前提'!$B$79,IF(37&lt;=36,'前提'!$B$80,IF(37&lt;=48,'前提'!$B$81,'前提'!$B$82))))))</f>
        <v/>
      </c>
      <c r="AM49" s="5">
        <f>IF(38&lt;=6,'前提'!$B$76,IF(38&lt;=12,'前提'!$B$77,IF(38&lt;=18,'前提'!$B$78,IF(38&lt;=24,'前提'!$B$79,IF(38&lt;=36,'前提'!$B$80,IF(38&lt;=48,'前提'!$B$81,'前提'!$B$82))))))</f>
        <v/>
      </c>
      <c r="AN49" s="5">
        <f>IF(39&lt;=6,'前提'!$B$76,IF(39&lt;=12,'前提'!$B$77,IF(39&lt;=18,'前提'!$B$78,IF(39&lt;=24,'前提'!$B$79,IF(39&lt;=36,'前提'!$B$80,IF(39&lt;=48,'前提'!$B$81,'前提'!$B$82))))))</f>
        <v/>
      </c>
      <c r="AO49" s="5">
        <f>IF(40&lt;=6,'前提'!$B$76,IF(40&lt;=12,'前提'!$B$77,IF(40&lt;=18,'前提'!$B$78,IF(40&lt;=24,'前提'!$B$79,IF(40&lt;=36,'前提'!$B$80,IF(40&lt;=48,'前提'!$B$81,'前提'!$B$82))))))</f>
        <v/>
      </c>
      <c r="AP49" s="5">
        <f>IF(41&lt;=6,'前提'!$B$76,IF(41&lt;=12,'前提'!$B$77,IF(41&lt;=18,'前提'!$B$78,IF(41&lt;=24,'前提'!$B$79,IF(41&lt;=36,'前提'!$B$80,IF(41&lt;=48,'前提'!$B$81,'前提'!$B$82))))))</f>
        <v/>
      </c>
      <c r="AQ49" s="5">
        <f>IF(42&lt;=6,'前提'!$B$76,IF(42&lt;=12,'前提'!$B$77,IF(42&lt;=18,'前提'!$B$78,IF(42&lt;=24,'前提'!$B$79,IF(42&lt;=36,'前提'!$B$80,IF(42&lt;=48,'前提'!$B$81,'前提'!$B$82))))))</f>
        <v/>
      </c>
      <c r="AR49" s="5">
        <f>IF(43&lt;=6,'前提'!$B$76,IF(43&lt;=12,'前提'!$B$77,IF(43&lt;=18,'前提'!$B$78,IF(43&lt;=24,'前提'!$B$79,IF(43&lt;=36,'前提'!$B$80,IF(43&lt;=48,'前提'!$B$81,'前提'!$B$82))))))</f>
        <v/>
      </c>
      <c r="AS49" s="5">
        <f>IF(44&lt;=6,'前提'!$B$76,IF(44&lt;=12,'前提'!$B$77,IF(44&lt;=18,'前提'!$B$78,IF(44&lt;=24,'前提'!$B$79,IF(44&lt;=36,'前提'!$B$80,IF(44&lt;=48,'前提'!$B$81,'前提'!$B$82))))))</f>
        <v/>
      </c>
      <c r="AT49" s="5">
        <f>IF(45&lt;=6,'前提'!$B$76,IF(45&lt;=12,'前提'!$B$77,IF(45&lt;=18,'前提'!$B$78,IF(45&lt;=24,'前提'!$B$79,IF(45&lt;=36,'前提'!$B$80,IF(45&lt;=48,'前提'!$B$81,'前提'!$B$82))))))</f>
        <v/>
      </c>
      <c r="AU49" s="5">
        <f>IF(46&lt;=6,'前提'!$B$76,IF(46&lt;=12,'前提'!$B$77,IF(46&lt;=18,'前提'!$B$78,IF(46&lt;=24,'前提'!$B$79,IF(46&lt;=36,'前提'!$B$80,IF(46&lt;=48,'前提'!$B$81,'前提'!$B$82))))))</f>
        <v/>
      </c>
      <c r="AV49" s="5">
        <f>IF(47&lt;=6,'前提'!$B$76,IF(47&lt;=12,'前提'!$B$77,IF(47&lt;=18,'前提'!$B$78,IF(47&lt;=24,'前提'!$B$79,IF(47&lt;=36,'前提'!$B$80,IF(47&lt;=48,'前提'!$B$81,'前提'!$B$82))))))</f>
        <v/>
      </c>
      <c r="AW49" s="5">
        <f>IF(48&lt;=6,'前提'!$B$76,IF(48&lt;=12,'前提'!$B$77,IF(48&lt;=18,'前提'!$B$78,IF(48&lt;=24,'前提'!$B$79,IF(48&lt;=36,'前提'!$B$80,IF(48&lt;=48,'前提'!$B$81,'前提'!$B$82))))))</f>
        <v/>
      </c>
      <c r="AX49" s="5">
        <f>IF(49&lt;=6,'前提'!$B$76,IF(49&lt;=12,'前提'!$B$77,IF(49&lt;=18,'前提'!$B$78,IF(49&lt;=24,'前提'!$B$79,IF(49&lt;=36,'前提'!$B$80,IF(49&lt;=48,'前提'!$B$81,'前提'!$B$82))))))</f>
        <v/>
      </c>
      <c r="AY49" s="5">
        <f>IF(50&lt;=6,'前提'!$B$76,IF(50&lt;=12,'前提'!$B$77,IF(50&lt;=18,'前提'!$B$78,IF(50&lt;=24,'前提'!$B$79,IF(50&lt;=36,'前提'!$B$80,IF(50&lt;=48,'前提'!$B$81,'前提'!$B$82))))))</f>
        <v/>
      </c>
      <c r="AZ49" s="5">
        <f>IF(51&lt;=6,'前提'!$B$76,IF(51&lt;=12,'前提'!$B$77,IF(51&lt;=18,'前提'!$B$78,IF(51&lt;=24,'前提'!$B$79,IF(51&lt;=36,'前提'!$B$80,IF(51&lt;=48,'前提'!$B$81,'前提'!$B$82))))))</f>
        <v/>
      </c>
      <c r="BA49" s="5">
        <f>IF(52&lt;=6,'前提'!$B$76,IF(52&lt;=12,'前提'!$B$77,IF(52&lt;=18,'前提'!$B$78,IF(52&lt;=24,'前提'!$B$79,IF(52&lt;=36,'前提'!$B$80,IF(52&lt;=48,'前提'!$B$81,'前提'!$B$82))))))</f>
        <v/>
      </c>
      <c r="BB49" s="5">
        <f>IF(53&lt;=6,'前提'!$B$76,IF(53&lt;=12,'前提'!$B$77,IF(53&lt;=18,'前提'!$B$78,IF(53&lt;=24,'前提'!$B$79,IF(53&lt;=36,'前提'!$B$80,IF(53&lt;=48,'前提'!$B$81,'前提'!$B$82))))))</f>
        <v/>
      </c>
      <c r="BC49" s="5">
        <f>IF(54&lt;=6,'前提'!$B$76,IF(54&lt;=12,'前提'!$B$77,IF(54&lt;=18,'前提'!$B$78,IF(54&lt;=24,'前提'!$B$79,IF(54&lt;=36,'前提'!$B$80,IF(54&lt;=48,'前提'!$B$81,'前提'!$B$82))))))</f>
        <v/>
      </c>
      <c r="BD49" s="5">
        <f>IF(55&lt;=6,'前提'!$B$76,IF(55&lt;=12,'前提'!$B$77,IF(55&lt;=18,'前提'!$B$78,IF(55&lt;=24,'前提'!$B$79,IF(55&lt;=36,'前提'!$B$80,IF(55&lt;=48,'前提'!$B$81,'前提'!$B$82))))))</f>
        <v/>
      </c>
      <c r="BE49" s="5">
        <f>IF(56&lt;=6,'前提'!$B$76,IF(56&lt;=12,'前提'!$B$77,IF(56&lt;=18,'前提'!$B$78,IF(56&lt;=24,'前提'!$B$79,IF(56&lt;=36,'前提'!$B$80,IF(56&lt;=48,'前提'!$B$81,'前提'!$B$82))))))</f>
        <v/>
      </c>
      <c r="BF49" s="5">
        <f>IF(57&lt;=6,'前提'!$B$76,IF(57&lt;=12,'前提'!$B$77,IF(57&lt;=18,'前提'!$B$78,IF(57&lt;=24,'前提'!$B$79,IF(57&lt;=36,'前提'!$B$80,IF(57&lt;=48,'前提'!$B$81,'前提'!$B$82))))))</f>
        <v/>
      </c>
      <c r="BG49" s="5">
        <f>IF(58&lt;=6,'前提'!$B$76,IF(58&lt;=12,'前提'!$B$77,IF(58&lt;=18,'前提'!$B$78,IF(58&lt;=24,'前提'!$B$79,IF(58&lt;=36,'前提'!$B$80,IF(58&lt;=48,'前提'!$B$81,'前提'!$B$82))))))</f>
        <v/>
      </c>
      <c r="BH49" s="5">
        <f>IF(59&lt;=6,'前提'!$B$76,IF(59&lt;=12,'前提'!$B$77,IF(59&lt;=18,'前提'!$B$78,IF(59&lt;=24,'前提'!$B$79,IF(59&lt;=36,'前提'!$B$80,IF(59&lt;=48,'前提'!$B$81,'前提'!$B$82))))))</f>
        <v/>
      </c>
      <c r="BI49" s="5">
        <f>IF(60&lt;=6,'前提'!$B$76,IF(60&lt;=12,'前提'!$B$77,IF(60&lt;=18,'前提'!$B$78,IF(60&lt;=24,'前提'!$B$79,IF(60&lt;=36,'前提'!$B$80,IF(60&lt;=48,'前提'!$B$81,'前提'!$B$82))))))</f>
        <v/>
      </c>
    </row>
    <row r="50">
      <c r="A50" t="inlineStr">
        <is>
          <t>その他固定費</t>
        </is>
      </c>
      <c r="B50" s="5">
        <f>'前提'!$B$55</f>
        <v/>
      </c>
      <c r="C50" s="5">
        <f>'前提'!$B$55</f>
        <v/>
      </c>
      <c r="D50" s="5">
        <f>'前提'!$B$55</f>
        <v/>
      </c>
      <c r="E50" s="5">
        <f>'前提'!$B$55</f>
        <v/>
      </c>
      <c r="F50" s="5">
        <f>'前提'!$B$55</f>
        <v/>
      </c>
      <c r="G50" s="5">
        <f>'前提'!$B$55</f>
        <v/>
      </c>
      <c r="H50" s="5">
        <f>'前提'!$B$55</f>
        <v/>
      </c>
      <c r="I50" s="5">
        <f>'前提'!$B$55</f>
        <v/>
      </c>
      <c r="J50" s="5">
        <f>'前提'!$B$55</f>
        <v/>
      </c>
      <c r="K50" s="5">
        <f>'前提'!$B$55</f>
        <v/>
      </c>
      <c r="L50" s="5">
        <f>'前提'!$B$55</f>
        <v/>
      </c>
      <c r="M50" s="5">
        <f>'前提'!$B$55</f>
        <v/>
      </c>
      <c r="N50" s="5">
        <f>'前提'!$B$55</f>
        <v/>
      </c>
      <c r="O50" s="5">
        <f>'前提'!$B$55</f>
        <v/>
      </c>
      <c r="P50" s="5">
        <f>'前提'!$B$55</f>
        <v/>
      </c>
      <c r="Q50" s="5">
        <f>'前提'!$B$55</f>
        <v/>
      </c>
      <c r="R50" s="5">
        <f>'前提'!$B$55</f>
        <v/>
      </c>
      <c r="S50" s="5">
        <f>'前提'!$B$55</f>
        <v/>
      </c>
      <c r="T50" s="5">
        <f>'前提'!$B$55</f>
        <v/>
      </c>
      <c r="U50" s="5">
        <f>'前提'!$B$55</f>
        <v/>
      </c>
      <c r="V50" s="5">
        <f>'前提'!$B$55</f>
        <v/>
      </c>
      <c r="W50" s="5">
        <f>'前提'!$B$55</f>
        <v/>
      </c>
      <c r="X50" s="5">
        <f>'前提'!$B$55</f>
        <v/>
      </c>
      <c r="Y50" s="5">
        <f>'前提'!$B$55</f>
        <v/>
      </c>
      <c r="Z50" s="5">
        <f>'前提'!$B$55</f>
        <v/>
      </c>
      <c r="AA50" s="5">
        <f>'前提'!$B$55</f>
        <v/>
      </c>
      <c r="AB50" s="5">
        <f>'前提'!$B$55</f>
        <v/>
      </c>
      <c r="AC50" s="5">
        <f>'前提'!$B$55</f>
        <v/>
      </c>
      <c r="AD50" s="5">
        <f>'前提'!$B$55</f>
        <v/>
      </c>
      <c r="AE50" s="5">
        <f>'前提'!$B$55</f>
        <v/>
      </c>
      <c r="AF50" s="5">
        <f>'前提'!$B$55</f>
        <v/>
      </c>
      <c r="AG50" s="5">
        <f>'前提'!$B$55</f>
        <v/>
      </c>
      <c r="AH50" s="5">
        <f>'前提'!$B$55</f>
        <v/>
      </c>
      <c r="AI50" s="5">
        <f>'前提'!$B$55</f>
        <v/>
      </c>
      <c r="AJ50" s="5">
        <f>'前提'!$B$55</f>
        <v/>
      </c>
      <c r="AK50" s="5">
        <f>'前提'!$B$55</f>
        <v/>
      </c>
      <c r="AL50" s="5">
        <f>'前提'!$B$55</f>
        <v/>
      </c>
      <c r="AM50" s="5">
        <f>'前提'!$B$55</f>
        <v/>
      </c>
      <c r="AN50" s="5">
        <f>'前提'!$B$55</f>
        <v/>
      </c>
      <c r="AO50" s="5">
        <f>'前提'!$B$55</f>
        <v/>
      </c>
      <c r="AP50" s="5">
        <f>'前提'!$B$55</f>
        <v/>
      </c>
      <c r="AQ50" s="5">
        <f>'前提'!$B$55</f>
        <v/>
      </c>
      <c r="AR50" s="5">
        <f>'前提'!$B$55</f>
        <v/>
      </c>
      <c r="AS50" s="5">
        <f>'前提'!$B$55</f>
        <v/>
      </c>
      <c r="AT50" s="5">
        <f>'前提'!$B$55</f>
        <v/>
      </c>
      <c r="AU50" s="5">
        <f>'前提'!$B$55</f>
        <v/>
      </c>
      <c r="AV50" s="5">
        <f>'前提'!$B$55</f>
        <v/>
      </c>
      <c r="AW50" s="5">
        <f>'前提'!$B$55</f>
        <v/>
      </c>
      <c r="AX50" s="5">
        <f>'前提'!$B$55</f>
        <v/>
      </c>
      <c r="AY50" s="5">
        <f>'前提'!$B$55</f>
        <v/>
      </c>
      <c r="AZ50" s="5">
        <f>'前提'!$B$55</f>
        <v/>
      </c>
      <c r="BA50" s="5">
        <f>'前提'!$B$55</f>
        <v/>
      </c>
      <c r="BB50" s="5">
        <f>'前提'!$B$55</f>
        <v/>
      </c>
      <c r="BC50" s="5">
        <f>'前提'!$B$55</f>
        <v/>
      </c>
      <c r="BD50" s="5">
        <f>'前提'!$B$55</f>
        <v/>
      </c>
      <c r="BE50" s="5">
        <f>'前提'!$B$55</f>
        <v/>
      </c>
      <c r="BF50" s="5">
        <f>'前提'!$B$55</f>
        <v/>
      </c>
      <c r="BG50" s="5">
        <f>'前提'!$B$55</f>
        <v/>
      </c>
      <c r="BH50" s="5">
        <f>'前提'!$B$55</f>
        <v/>
      </c>
      <c r="BI50" s="5">
        <f>'前提'!$B$55</f>
        <v/>
      </c>
    </row>
    <row r="51">
      <c r="A51" t="inlineStr">
        <is>
          <t>固定費合計</t>
        </is>
      </c>
      <c r="B51" s="5">
        <f>SUM(B43:B50)</f>
        <v/>
      </c>
      <c r="C51" s="5">
        <f>SUM(C43:C50)</f>
        <v/>
      </c>
      <c r="D51" s="5">
        <f>SUM(D43:D50)</f>
        <v/>
      </c>
      <c r="E51" s="5">
        <f>SUM(E43:E50)</f>
        <v/>
      </c>
      <c r="F51" s="5">
        <f>SUM(F43:F50)</f>
        <v/>
      </c>
      <c r="G51" s="5">
        <f>SUM(G43:G50)</f>
        <v/>
      </c>
      <c r="H51" s="5">
        <f>SUM(H43:H50)</f>
        <v/>
      </c>
      <c r="I51" s="5">
        <f>SUM(I43:I50)</f>
        <v/>
      </c>
      <c r="J51" s="5">
        <f>SUM(J43:J50)</f>
        <v/>
      </c>
      <c r="K51" s="5">
        <f>SUM(K43:K50)</f>
        <v/>
      </c>
      <c r="L51" s="5">
        <f>SUM(L43:L50)</f>
        <v/>
      </c>
      <c r="M51" s="5">
        <f>SUM(M43:M50)</f>
        <v/>
      </c>
      <c r="N51" s="5">
        <f>SUM(N43:N50)</f>
        <v/>
      </c>
      <c r="O51" s="5">
        <f>SUM(O43:O50)</f>
        <v/>
      </c>
      <c r="P51" s="5">
        <f>SUM(P43:P50)</f>
        <v/>
      </c>
      <c r="Q51" s="5">
        <f>SUM(Q43:Q50)</f>
        <v/>
      </c>
      <c r="R51" s="5">
        <f>SUM(R43:R50)</f>
        <v/>
      </c>
      <c r="S51" s="5">
        <f>SUM(S43:S50)</f>
        <v/>
      </c>
      <c r="T51" s="5">
        <f>SUM(T43:T50)</f>
        <v/>
      </c>
      <c r="U51" s="5">
        <f>SUM(U43:U50)</f>
        <v/>
      </c>
      <c r="V51" s="5">
        <f>SUM(V43:V50)</f>
        <v/>
      </c>
      <c r="W51" s="5">
        <f>SUM(W43:W50)</f>
        <v/>
      </c>
      <c r="X51" s="5">
        <f>SUM(X43:X50)</f>
        <v/>
      </c>
      <c r="Y51" s="5">
        <f>SUM(Y43:Y50)</f>
        <v/>
      </c>
      <c r="Z51" s="5">
        <f>SUM(Z43:Z50)</f>
        <v/>
      </c>
      <c r="AA51" s="5">
        <f>SUM(AA43:AA50)</f>
        <v/>
      </c>
      <c r="AB51" s="5">
        <f>SUM(AB43:AB50)</f>
        <v/>
      </c>
      <c r="AC51" s="5">
        <f>SUM(AC43:AC50)</f>
        <v/>
      </c>
      <c r="AD51" s="5">
        <f>SUM(AD43:AD50)</f>
        <v/>
      </c>
      <c r="AE51" s="5">
        <f>SUM(AE43:AE50)</f>
        <v/>
      </c>
      <c r="AF51" s="5">
        <f>SUM(AF43:AF50)</f>
        <v/>
      </c>
      <c r="AG51" s="5">
        <f>SUM(AG43:AG50)</f>
        <v/>
      </c>
      <c r="AH51" s="5">
        <f>SUM(AH43:AH50)</f>
        <v/>
      </c>
      <c r="AI51" s="5">
        <f>SUM(AI43:AI50)</f>
        <v/>
      </c>
      <c r="AJ51" s="5">
        <f>SUM(AJ43:AJ50)</f>
        <v/>
      </c>
      <c r="AK51" s="5">
        <f>SUM(AK43:AK50)</f>
        <v/>
      </c>
      <c r="AL51" s="5">
        <f>SUM(AL43:AL50)</f>
        <v/>
      </c>
      <c r="AM51" s="5">
        <f>SUM(AM43:AM50)</f>
        <v/>
      </c>
      <c r="AN51" s="5">
        <f>SUM(AN43:AN50)</f>
        <v/>
      </c>
      <c r="AO51" s="5">
        <f>SUM(AO43:AO50)</f>
        <v/>
      </c>
      <c r="AP51" s="5">
        <f>SUM(AP43:AP50)</f>
        <v/>
      </c>
      <c r="AQ51" s="5">
        <f>SUM(AQ43:AQ50)</f>
        <v/>
      </c>
      <c r="AR51" s="5">
        <f>SUM(AR43:AR50)</f>
        <v/>
      </c>
      <c r="AS51" s="5">
        <f>SUM(AS43:AS50)</f>
        <v/>
      </c>
      <c r="AT51" s="5">
        <f>SUM(AT43:AT50)</f>
        <v/>
      </c>
      <c r="AU51" s="5">
        <f>SUM(AU43:AU50)</f>
        <v/>
      </c>
      <c r="AV51" s="5">
        <f>SUM(AV43:AV50)</f>
        <v/>
      </c>
      <c r="AW51" s="5">
        <f>SUM(AW43:AW50)</f>
        <v/>
      </c>
      <c r="AX51" s="5">
        <f>SUM(AX43:AX50)</f>
        <v/>
      </c>
      <c r="AY51" s="5">
        <f>SUM(AY43:AY50)</f>
        <v/>
      </c>
      <c r="AZ51" s="5">
        <f>SUM(AZ43:AZ50)</f>
        <v/>
      </c>
      <c r="BA51" s="5">
        <f>SUM(BA43:BA50)</f>
        <v/>
      </c>
      <c r="BB51" s="5">
        <f>SUM(BB43:BB50)</f>
        <v/>
      </c>
      <c r="BC51" s="5">
        <f>SUM(BC43:BC50)</f>
        <v/>
      </c>
      <c r="BD51" s="5">
        <f>SUM(BD43:BD50)</f>
        <v/>
      </c>
      <c r="BE51" s="5">
        <f>SUM(BE43:BE50)</f>
        <v/>
      </c>
      <c r="BF51" s="5">
        <f>SUM(BF43:BF50)</f>
        <v/>
      </c>
      <c r="BG51" s="5">
        <f>SUM(BG43:BG50)</f>
        <v/>
      </c>
      <c r="BH51" s="5">
        <f>SUM(BH43:BH50)</f>
        <v/>
      </c>
      <c r="BI51" s="5">
        <f>SUM(BI43:BI50)</f>
        <v/>
      </c>
    </row>
    <row r="53">
      <c r="A53" s="17" t="inlineStr">
        <is>
          <t>コスト合計</t>
        </is>
      </c>
      <c r="B53" s="18">
        <f>SUM(B25:B29)+B40+B51</f>
        <v/>
      </c>
      <c r="C53" s="18">
        <f>SUM(C25:C29)+C40+C51</f>
        <v/>
      </c>
      <c r="D53" s="18">
        <f>SUM(D25:D29)+D40+D51</f>
        <v/>
      </c>
      <c r="E53" s="18">
        <f>SUM(E25:E29)+E40+E51</f>
        <v/>
      </c>
      <c r="F53" s="18">
        <f>SUM(F25:F29)+F40+F51</f>
        <v/>
      </c>
      <c r="G53" s="18">
        <f>SUM(G25:G29)+G40+G51</f>
        <v/>
      </c>
      <c r="H53" s="18">
        <f>SUM(H25:H29)+H40+H51</f>
        <v/>
      </c>
      <c r="I53" s="18">
        <f>SUM(I25:I29)+I40+I51</f>
        <v/>
      </c>
      <c r="J53" s="18">
        <f>SUM(J25:J29)+J40+J51</f>
        <v/>
      </c>
      <c r="K53" s="18">
        <f>SUM(K25:K29)+K40+K51</f>
        <v/>
      </c>
      <c r="L53" s="18">
        <f>SUM(L25:L29)+L40+L51</f>
        <v/>
      </c>
      <c r="M53" s="18">
        <f>SUM(M25:M29)+M40+M51</f>
        <v/>
      </c>
      <c r="N53" s="18">
        <f>SUM(N25:N29)+N40+N51</f>
        <v/>
      </c>
      <c r="O53" s="18">
        <f>SUM(O25:O29)+O40+O51</f>
        <v/>
      </c>
      <c r="P53" s="18">
        <f>SUM(P25:P29)+P40+P51</f>
        <v/>
      </c>
      <c r="Q53" s="18">
        <f>SUM(Q25:Q29)+Q40+Q51</f>
        <v/>
      </c>
      <c r="R53" s="18">
        <f>SUM(R25:R29)+R40+R51</f>
        <v/>
      </c>
      <c r="S53" s="18">
        <f>SUM(S25:S29)+S40+S51</f>
        <v/>
      </c>
      <c r="T53" s="18">
        <f>SUM(T25:T29)+T40+T51</f>
        <v/>
      </c>
      <c r="U53" s="18">
        <f>SUM(U25:U29)+U40+U51</f>
        <v/>
      </c>
      <c r="V53" s="18">
        <f>SUM(V25:V29)+V40+V51</f>
        <v/>
      </c>
      <c r="W53" s="18">
        <f>SUM(W25:W29)+W40+W51</f>
        <v/>
      </c>
      <c r="X53" s="18">
        <f>SUM(X25:X29)+X40+X51</f>
        <v/>
      </c>
      <c r="Y53" s="18">
        <f>SUM(Y25:Y29)+Y40+Y51</f>
        <v/>
      </c>
      <c r="Z53" s="18">
        <f>SUM(Z25:Z29)+Z40+Z51</f>
        <v/>
      </c>
      <c r="AA53" s="18">
        <f>SUM(AA25:AA29)+AA40+AA51</f>
        <v/>
      </c>
      <c r="AB53" s="18">
        <f>SUM(AB25:AB29)+AB40+AB51</f>
        <v/>
      </c>
      <c r="AC53" s="18">
        <f>SUM(AC25:AC29)+AC40+AC51</f>
        <v/>
      </c>
      <c r="AD53" s="18">
        <f>SUM(AD25:AD29)+AD40+AD51</f>
        <v/>
      </c>
      <c r="AE53" s="18">
        <f>SUM(AE25:AE29)+AE40+AE51</f>
        <v/>
      </c>
      <c r="AF53" s="18">
        <f>SUM(AF25:AF29)+AF40+AF51</f>
        <v/>
      </c>
      <c r="AG53" s="18">
        <f>SUM(AG25:AG29)+AG40+AG51</f>
        <v/>
      </c>
      <c r="AH53" s="18">
        <f>SUM(AH25:AH29)+AH40+AH51</f>
        <v/>
      </c>
      <c r="AI53" s="18">
        <f>SUM(AI25:AI29)+AI40+AI51</f>
        <v/>
      </c>
      <c r="AJ53" s="18">
        <f>SUM(AJ25:AJ29)+AJ40+AJ51</f>
        <v/>
      </c>
      <c r="AK53" s="18">
        <f>SUM(AK25:AK29)+AK40+AK51</f>
        <v/>
      </c>
      <c r="AL53" s="18">
        <f>SUM(AL25:AL29)+AL40+AL51</f>
        <v/>
      </c>
      <c r="AM53" s="18">
        <f>SUM(AM25:AM29)+AM40+AM51</f>
        <v/>
      </c>
      <c r="AN53" s="18">
        <f>SUM(AN25:AN29)+AN40+AN51</f>
        <v/>
      </c>
      <c r="AO53" s="18">
        <f>SUM(AO25:AO29)+AO40+AO51</f>
        <v/>
      </c>
      <c r="AP53" s="18">
        <f>SUM(AP25:AP29)+AP40+AP51</f>
        <v/>
      </c>
      <c r="AQ53" s="18">
        <f>SUM(AQ25:AQ29)+AQ40+AQ51</f>
        <v/>
      </c>
      <c r="AR53" s="18">
        <f>SUM(AR25:AR29)+AR40+AR51</f>
        <v/>
      </c>
      <c r="AS53" s="18">
        <f>SUM(AS25:AS29)+AS40+AS51</f>
        <v/>
      </c>
      <c r="AT53" s="18">
        <f>SUM(AT25:AT29)+AT40+AT51</f>
        <v/>
      </c>
      <c r="AU53" s="18">
        <f>SUM(AU25:AU29)+AU40+AU51</f>
        <v/>
      </c>
      <c r="AV53" s="18">
        <f>SUM(AV25:AV29)+AV40+AV51</f>
        <v/>
      </c>
      <c r="AW53" s="18">
        <f>SUM(AW25:AW29)+AW40+AW51</f>
        <v/>
      </c>
      <c r="AX53" s="18">
        <f>SUM(AX25:AX29)+AX40+AX51</f>
        <v/>
      </c>
      <c r="AY53" s="18">
        <f>SUM(AY25:AY29)+AY40+AY51</f>
        <v/>
      </c>
      <c r="AZ53" s="18">
        <f>SUM(AZ25:AZ29)+AZ40+AZ51</f>
        <v/>
      </c>
      <c r="BA53" s="18">
        <f>SUM(BA25:BA29)+BA40+BA51</f>
        <v/>
      </c>
      <c r="BB53" s="18">
        <f>SUM(BB25:BB29)+BB40+BB51</f>
        <v/>
      </c>
      <c r="BC53" s="18">
        <f>SUM(BC25:BC29)+BC40+BC51</f>
        <v/>
      </c>
      <c r="BD53" s="18">
        <f>SUM(BD25:BD29)+BD40+BD51</f>
        <v/>
      </c>
      <c r="BE53" s="18">
        <f>SUM(BE25:BE29)+BE40+BE51</f>
        <v/>
      </c>
      <c r="BF53" s="18">
        <f>SUM(BF25:BF29)+BF40+BF51</f>
        <v/>
      </c>
      <c r="BG53" s="18">
        <f>SUM(BG25:BG29)+BG40+BG51</f>
        <v/>
      </c>
      <c r="BH53" s="18">
        <f>SUM(BH25:BH29)+BH40+BH51</f>
        <v/>
      </c>
      <c r="BI53" s="18">
        <f>SUM(BI25:BI29)+BI40+BI51</f>
        <v/>
      </c>
    </row>
    <row r="55">
      <c r="A55" s="16" t="inlineStr">
        <is>
          <t>【損益】</t>
        </is>
      </c>
    </row>
    <row r="56">
      <c r="A56" t="inlineStr">
        <is>
          <t>粗利（売上-直接原価-BPO/CS人件費）</t>
        </is>
      </c>
      <c r="B56" s="5">
        <f>B22-SUM(B25:B29)-(B35+B36+B37)</f>
        <v/>
      </c>
      <c r="C56" s="5">
        <f>C22-SUM(C25:C29)-(C35+C36+C37)</f>
        <v/>
      </c>
      <c r="D56" s="5">
        <f>D22-SUM(D25:D29)-(D35+D36+D37)</f>
        <v/>
      </c>
      <c r="E56" s="5">
        <f>E22-SUM(E25:E29)-(E35+E36+E37)</f>
        <v/>
      </c>
      <c r="F56" s="5">
        <f>F22-SUM(F25:F29)-(F35+F36+F37)</f>
        <v/>
      </c>
      <c r="G56" s="5">
        <f>G22-SUM(G25:G29)-(G35+G36+G37)</f>
        <v/>
      </c>
      <c r="H56" s="5">
        <f>H22-SUM(H25:H29)-(H35+H36+H37)</f>
        <v/>
      </c>
      <c r="I56" s="5">
        <f>I22-SUM(I25:I29)-(I35+I36+I37)</f>
        <v/>
      </c>
      <c r="J56" s="5">
        <f>J22-SUM(J25:J29)-(J35+J36+J37)</f>
        <v/>
      </c>
      <c r="K56" s="5">
        <f>K22-SUM(K25:K29)-(K35+K36+K37)</f>
        <v/>
      </c>
      <c r="L56" s="5">
        <f>L22-SUM(L25:L29)-(L35+L36+L37)</f>
        <v/>
      </c>
      <c r="M56" s="5">
        <f>M22-SUM(M25:M29)-(M35+M36+M37)</f>
        <v/>
      </c>
      <c r="N56" s="5">
        <f>N22-SUM(N25:N29)-(N35+N36+N37)</f>
        <v/>
      </c>
      <c r="O56" s="5">
        <f>O22-SUM(O25:O29)-(O35+O36+O37)</f>
        <v/>
      </c>
      <c r="P56" s="5">
        <f>P22-SUM(P25:P29)-(P35+P36+P37)</f>
        <v/>
      </c>
      <c r="Q56" s="5">
        <f>Q22-SUM(Q25:Q29)-(Q35+Q36+Q37)</f>
        <v/>
      </c>
      <c r="R56" s="5">
        <f>R22-SUM(R25:R29)-(R35+R36+R37)</f>
        <v/>
      </c>
      <c r="S56" s="5">
        <f>S22-SUM(S25:S29)-(S35+S36+S37)</f>
        <v/>
      </c>
      <c r="T56" s="5">
        <f>T22-SUM(T25:T29)-(T35+T36+T37)</f>
        <v/>
      </c>
      <c r="U56" s="5">
        <f>U22-SUM(U25:U29)-(U35+U36+U37)</f>
        <v/>
      </c>
      <c r="V56" s="5">
        <f>V22-SUM(V25:V29)-(V35+V36+V37)</f>
        <v/>
      </c>
      <c r="W56" s="5">
        <f>W22-SUM(W25:W29)-(W35+W36+W37)</f>
        <v/>
      </c>
      <c r="X56" s="5">
        <f>X22-SUM(X25:X29)-(X35+X36+X37)</f>
        <v/>
      </c>
      <c r="Y56" s="5">
        <f>Y22-SUM(Y25:Y29)-(Y35+Y36+Y37)</f>
        <v/>
      </c>
      <c r="Z56" s="5">
        <f>Z22-SUM(Z25:Z29)-(Z35+Z36+Z37)</f>
        <v/>
      </c>
      <c r="AA56" s="5">
        <f>AA22-SUM(AA25:AA29)-(AA35+AA36+AA37)</f>
        <v/>
      </c>
      <c r="AB56" s="5">
        <f>AB22-SUM(AB25:AB29)-(AB35+AB36+AB37)</f>
        <v/>
      </c>
      <c r="AC56" s="5">
        <f>AC22-SUM(AC25:AC29)-(AC35+AC36+AC37)</f>
        <v/>
      </c>
      <c r="AD56" s="5">
        <f>AD22-SUM(AD25:AD29)-(AD35+AD36+AD37)</f>
        <v/>
      </c>
      <c r="AE56" s="5">
        <f>AE22-SUM(AE25:AE29)-(AE35+AE36+AE37)</f>
        <v/>
      </c>
      <c r="AF56" s="5">
        <f>AF22-SUM(AF25:AF29)-(AF35+AF36+AF37)</f>
        <v/>
      </c>
      <c r="AG56" s="5">
        <f>AG22-SUM(AG25:AG29)-(AG35+AG36+AG37)</f>
        <v/>
      </c>
      <c r="AH56" s="5">
        <f>AH22-SUM(AH25:AH29)-(AH35+AH36+AH37)</f>
        <v/>
      </c>
      <c r="AI56" s="5">
        <f>AI22-SUM(AI25:AI29)-(AI35+AI36+AI37)</f>
        <v/>
      </c>
      <c r="AJ56" s="5">
        <f>AJ22-SUM(AJ25:AJ29)-(AJ35+AJ36+AJ37)</f>
        <v/>
      </c>
      <c r="AK56" s="5">
        <f>AK22-SUM(AK25:AK29)-(AK35+AK36+AK37)</f>
        <v/>
      </c>
      <c r="AL56" s="5">
        <f>AL22-SUM(AL25:AL29)-(AL35+AL36+AL37)</f>
        <v/>
      </c>
      <c r="AM56" s="5">
        <f>AM22-SUM(AM25:AM29)-(AM35+AM36+AM37)</f>
        <v/>
      </c>
      <c r="AN56" s="5">
        <f>AN22-SUM(AN25:AN29)-(AN35+AN36+AN37)</f>
        <v/>
      </c>
      <c r="AO56" s="5">
        <f>AO22-SUM(AO25:AO29)-(AO35+AO36+AO37)</f>
        <v/>
      </c>
      <c r="AP56" s="5">
        <f>AP22-SUM(AP25:AP29)-(AP35+AP36+AP37)</f>
        <v/>
      </c>
      <c r="AQ56" s="5">
        <f>AQ22-SUM(AQ25:AQ29)-(AQ35+AQ36+AQ37)</f>
        <v/>
      </c>
      <c r="AR56" s="5">
        <f>AR22-SUM(AR25:AR29)-(AR35+AR36+AR37)</f>
        <v/>
      </c>
      <c r="AS56" s="5">
        <f>AS22-SUM(AS25:AS29)-(AS35+AS36+AS37)</f>
        <v/>
      </c>
      <c r="AT56" s="5">
        <f>AT22-SUM(AT25:AT29)-(AT35+AT36+AT37)</f>
        <v/>
      </c>
      <c r="AU56" s="5">
        <f>AU22-SUM(AU25:AU29)-(AU35+AU36+AU37)</f>
        <v/>
      </c>
      <c r="AV56" s="5">
        <f>AV22-SUM(AV25:AV29)-(AV35+AV36+AV37)</f>
        <v/>
      </c>
      <c r="AW56" s="5">
        <f>AW22-SUM(AW25:AW29)-(AW35+AW36+AW37)</f>
        <v/>
      </c>
      <c r="AX56" s="5">
        <f>AX22-SUM(AX25:AX29)-(AX35+AX36+AX37)</f>
        <v/>
      </c>
      <c r="AY56" s="5">
        <f>AY22-SUM(AY25:AY29)-(AY35+AY36+AY37)</f>
        <v/>
      </c>
      <c r="AZ56" s="5">
        <f>AZ22-SUM(AZ25:AZ29)-(AZ35+AZ36+AZ37)</f>
        <v/>
      </c>
      <c r="BA56" s="5">
        <f>BA22-SUM(BA25:BA29)-(BA35+BA36+BA37)</f>
        <v/>
      </c>
      <c r="BB56" s="5">
        <f>BB22-SUM(BB25:BB29)-(BB35+BB36+BB37)</f>
        <v/>
      </c>
      <c r="BC56" s="5">
        <f>BC22-SUM(BC25:BC29)-(BC35+BC36+BC37)</f>
        <v/>
      </c>
      <c r="BD56" s="5">
        <f>BD22-SUM(BD25:BD29)-(BD35+BD36+BD37)</f>
        <v/>
      </c>
      <c r="BE56" s="5">
        <f>BE22-SUM(BE25:BE29)-(BE35+BE36+BE37)</f>
        <v/>
      </c>
      <c r="BF56" s="5">
        <f>BF22-SUM(BF25:BF29)-(BF35+BF36+BF37)</f>
        <v/>
      </c>
      <c r="BG56" s="5">
        <f>BG22-SUM(BG25:BG29)-(BG35+BG36+BG37)</f>
        <v/>
      </c>
      <c r="BH56" s="5">
        <f>BH22-SUM(BH25:BH29)-(BH35+BH36+BH37)</f>
        <v/>
      </c>
      <c r="BI56" s="5">
        <f>BI22-SUM(BI25:BI29)-(BI35+BI36+BI37)</f>
        <v/>
      </c>
    </row>
    <row r="57">
      <c r="A57" t="inlineStr">
        <is>
          <t>粗利率</t>
        </is>
      </c>
      <c r="B57" s="6">
        <f>IF(B22&lt;&gt;0,B56/B22,0)</f>
        <v/>
      </c>
      <c r="C57" s="6">
        <f>IF(C22&lt;&gt;0,C56/C22,0)</f>
        <v/>
      </c>
      <c r="D57" s="6">
        <f>IF(D22&lt;&gt;0,D56/D22,0)</f>
        <v/>
      </c>
      <c r="E57" s="6">
        <f>IF(E22&lt;&gt;0,E56/E22,0)</f>
        <v/>
      </c>
      <c r="F57" s="6">
        <f>IF(F22&lt;&gt;0,F56/F22,0)</f>
        <v/>
      </c>
      <c r="G57" s="6">
        <f>IF(G22&lt;&gt;0,G56/G22,0)</f>
        <v/>
      </c>
      <c r="H57" s="6">
        <f>IF(H22&lt;&gt;0,H56/H22,0)</f>
        <v/>
      </c>
      <c r="I57" s="6">
        <f>IF(I22&lt;&gt;0,I56/I22,0)</f>
        <v/>
      </c>
      <c r="J57" s="6">
        <f>IF(J22&lt;&gt;0,J56/J22,0)</f>
        <v/>
      </c>
      <c r="K57" s="6">
        <f>IF(K22&lt;&gt;0,K56/K22,0)</f>
        <v/>
      </c>
      <c r="L57" s="6">
        <f>IF(L22&lt;&gt;0,L56/L22,0)</f>
        <v/>
      </c>
      <c r="M57" s="6">
        <f>IF(M22&lt;&gt;0,M56/M22,0)</f>
        <v/>
      </c>
      <c r="N57" s="6">
        <f>IF(N22&lt;&gt;0,N56/N22,0)</f>
        <v/>
      </c>
      <c r="O57" s="6">
        <f>IF(O22&lt;&gt;0,O56/O22,0)</f>
        <v/>
      </c>
      <c r="P57" s="6">
        <f>IF(P22&lt;&gt;0,P56/P22,0)</f>
        <v/>
      </c>
      <c r="Q57" s="6">
        <f>IF(Q22&lt;&gt;0,Q56/Q22,0)</f>
        <v/>
      </c>
      <c r="R57" s="6">
        <f>IF(R22&lt;&gt;0,R56/R22,0)</f>
        <v/>
      </c>
      <c r="S57" s="6">
        <f>IF(S22&lt;&gt;0,S56/S22,0)</f>
        <v/>
      </c>
      <c r="T57" s="6">
        <f>IF(T22&lt;&gt;0,T56/T22,0)</f>
        <v/>
      </c>
      <c r="U57" s="6">
        <f>IF(U22&lt;&gt;0,U56/U22,0)</f>
        <v/>
      </c>
      <c r="V57" s="6">
        <f>IF(V22&lt;&gt;0,V56/V22,0)</f>
        <v/>
      </c>
      <c r="W57" s="6">
        <f>IF(W22&lt;&gt;0,W56/W22,0)</f>
        <v/>
      </c>
      <c r="X57" s="6">
        <f>IF(X22&lt;&gt;0,X56/X22,0)</f>
        <v/>
      </c>
      <c r="Y57" s="6">
        <f>IF(Y22&lt;&gt;0,Y56/Y22,0)</f>
        <v/>
      </c>
      <c r="Z57" s="6">
        <f>IF(Z22&lt;&gt;0,Z56/Z22,0)</f>
        <v/>
      </c>
      <c r="AA57" s="6">
        <f>IF(AA22&lt;&gt;0,AA56/AA22,0)</f>
        <v/>
      </c>
      <c r="AB57" s="6">
        <f>IF(AB22&lt;&gt;0,AB56/AB22,0)</f>
        <v/>
      </c>
      <c r="AC57" s="6">
        <f>IF(AC22&lt;&gt;0,AC56/AC22,0)</f>
        <v/>
      </c>
      <c r="AD57" s="6">
        <f>IF(AD22&lt;&gt;0,AD56/AD22,0)</f>
        <v/>
      </c>
      <c r="AE57" s="6">
        <f>IF(AE22&lt;&gt;0,AE56/AE22,0)</f>
        <v/>
      </c>
      <c r="AF57" s="6">
        <f>IF(AF22&lt;&gt;0,AF56/AF22,0)</f>
        <v/>
      </c>
      <c r="AG57" s="6">
        <f>IF(AG22&lt;&gt;0,AG56/AG22,0)</f>
        <v/>
      </c>
      <c r="AH57" s="6">
        <f>IF(AH22&lt;&gt;0,AH56/AH22,0)</f>
        <v/>
      </c>
      <c r="AI57" s="6">
        <f>IF(AI22&lt;&gt;0,AI56/AI22,0)</f>
        <v/>
      </c>
      <c r="AJ57" s="6">
        <f>IF(AJ22&lt;&gt;0,AJ56/AJ22,0)</f>
        <v/>
      </c>
      <c r="AK57" s="6">
        <f>IF(AK22&lt;&gt;0,AK56/AK22,0)</f>
        <v/>
      </c>
      <c r="AL57" s="6">
        <f>IF(AL22&lt;&gt;0,AL56/AL22,0)</f>
        <v/>
      </c>
      <c r="AM57" s="6">
        <f>IF(AM22&lt;&gt;0,AM56/AM22,0)</f>
        <v/>
      </c>
      <c r="AN57" s="6">
        <f>IF(AN22&lt;&gt;0,AN56/AN22,0)</f>
        <v/>
      </c>
      <c r="AO57" s="6">
        <f>IF(AO22&lt;&gt;0,AO56/AO22,0)</f>
        <v/>
      </c>
      <c r="AP57" s="6">
        <f>IF(AP22&lt;&gt;0,AP56/AP22,0)</f>
        <v/>
      </c>
      <c r="AQ57" s="6">
        <f>IF(AQ22&lt;&gt;0,AQ56/AQ22,0)</f>
        <v/>
      </c>
      <c r="AR57" s="6">
        <f>IF(AR22&lt;&gt;0,AR56/AR22,0)</f>
        <v/>
      </c>
      <c r="AS57" s="6">
        <f>IF(AS22&lt;&gt;0,AS56/AS22,0)</f>
        <v/>
      </c>
      <c r="AT57" s="6">
        <f>IF(AT22&lt;&gt;0,AT56/AT22,0)</f>
        <v/>
      </c>
      <c r="AU57" s="6">
        <f>IF(AU22&lt;&gt;0,AU56/AU22,0)</f>
        <v/>
      </c>
      <c r="AV57" s="6">
        <f>IF(AV22&lt;&gt;0,AV56/AV22,0)</f>
        <v/>
      </c>
      <c r="AW57" s="6">
        <f>IF(AW22&lt;&gt;0,AW56/AW22,0)</f>
        <v/>
      </c>
      <c r="AX57" s="6">
        <f>IF(AX22&lt;&gt;0,AX56/AX22,0)</f>
        <v/>
      </c>
      <c r="AY57" s="6">
        <f>IF(AY22&lt;&gt;0,AY56/AY22,0)</f>
        <v/>
      </c>
      <c r="AZ57" s="6">
        <f>IF(AZ22&lt;&gt;0,AZ56/AZ22,0)</f>
        <v/>
      </c>
      <c r="BA57" s="6">
        <f>IF(BA22&lt;&gt;0,BA56/BA22,0)</f>
        <v/>
      </c>
      <c r="BB57" s="6">
        <f>IF(BB22&lt;&gt;0,BB56/BB22,0)</f>
        <v/>
      </c>
      <c r="BC57" s="6">
        <f>IF(BC22&lt;&gt;0,BC56/BC22,0)</f>
        <v/>
      </c>
      <c r="BD57" s="6">
        <f>IF(BD22&lt;&gt;0,BD56/BD22,0)</f>
        <v/>
      </c>
      <c r="BE57" s="6">
        <f>IF(BE22&lt;&gt;0,BE56/BE22,0)</f>
        <v/>
      </c>
      <c r="BF57" s="6">
        <f>IF(BF22&lt;&gt;0,BF56/BF22,0)</f>
        <v/>
      </c>
      <c r="BG57" s="6">
        <f>IF(BG22&lt;&gt;0,BG56/BG22,0)</f>
        <v/>
      </c>
      <c r="BH57" s="6">
        <f>IF(BH22&lt;&gt;0,BH56/BH22,0)</f>
        <v/>
      </c>
      <c r="BI57" s="6">
        <f>IF(BI22&lt;&gt;0,BI56/BI22,0)</f>
        <v/>
      </c>
    </row>
    <row r="58">
      <c r="A58" t="inlineStr">
        <is>
          <t>営業利益</t>
        </is>
      </c>
      <c r="B58" s="5">
        <f>B22-B53</f>
        <v/>
      </c>
      <c r="C58" s="5">
        <f>C22-C53</f>
        <v/>
      </c>
      <c r="D58" s="5">
        <f>D22-D53</f>
        <v/>
      </c>
      <c r="E58" s="5">
        <f>E22-E53</f>
        <v/>
      </c>
      <c r="F58" s="5">
        <f>F22-F53</f>
        <v/>
      </c>
      <c r="G58" s="5">
        <f>G22-G53</f>
        <v/>
      </c>
      <c r="H58" s="5">
        <f>H22-H53</f>
        <v/>
      </c>
      <c r="I58" s="5">
        <f>I22-I53</f>
        <v/>
      </c>
      <c r="J58" s="5">
        <f>J22-J53</f>
        <v/>
      </c>
      <c r="K58" s="5">
        <f>K22-K53</f>
        <v/>
      </c>
      <c r="L58" s="5">
        <f>L22-L53</f>
        <v/>
      </c>
      <c r="M58" s="5">
        <f>M22-M53</f>
        <v/>
      </c>
      <c r="N58" s="5">
        <f>N22-N53</f>
        <v/>
      </c>
      <c r="O58" s="5">
        <f>O22-O53</f>
        <v/>
      </c>
      <c r="P58" s="5">
        <f>P22-P53</f>
        <v/>
      </c>
      <c r="Q58" s="5">
        <f>Q22-Q53</f>
        <v/>
      </c>
      <c r="R58" s="5">
        <f>R22-R53</f>
        <v/>
      </c>
      <c r="S58" s="5">
        <f>S22-S53</f>
        <v/>
      </c>
      <c r="T58" s="5">
        <f>T22-T53</f>
        <v/>
      </c>
      <c r="U58" s="5">
        <f>U22-U53</f>
        <v/>
      </c>
      <c r="V58" s="5">
        <f>V22-V53</f>
        <v/>
      </c>
      <c r="W58" s="5">
        <f>W22-W53</f>
        <v/>
      </c>
      <c r="X58" s="5">
        <f>X22-X53</f>
        <v/>
      </c>
      <c r="Y58" s="5">
        <f>Y22-Y53</f>
        <v/>
      </c>
      <c r="Z58" s="5">
        <f>Z22-Z53</f>
        <v/>
      </c>
      <c r="AA58" s="5">
        <f>AA22-AA53</f>
        <v/>
      </c>
      <c r="AB58" s="5">
        <f>AB22-AB53</f>
        <v/>
      </c>
      <c r="AC58" s="5">
        <f>AC22-AC53</f>
        <v/>
      </c>
      <c r="AD58" s="5">
        <f>AD22-AD53</f>
        <v/>
      </c>
      <c r="AE58" s="5">
        <f>AE22-AE53</f>
        <v/>
      </c>
      <c r="AF58" s="5">
        <f>AF22-AF53</f>
        <v/>
      </c>
      <c r="AG58" s="5">
        <f>AG22-AG53</f>
        <v/>
      </c>
      <c r="AH58" s="5">
        <f>AH22-AH53</f>
        <v/>
      </c>
      <c r="AI58" s="5">
        <f>AI22-AI53</f>
        <v/>
      </c>
      <c r="AJ58" s="5">
        <f>AJ22-AJ53</f>
        <v/>
      </c>
      <c r="AK58" s="5">
        <f>AK22-AK53</f>
        <v/>
      </c>
      <c r="AL58" s="5">
        <f>AL22-AL53</f>
        <v/>
      </c>
      <c r="AM58" s="5">
        <f>AM22-AM53</f>
        <v/>
      </c>
      <c r="AN58" s="5">
        <f>AN22-AN53</f>
        <v/>
      </c>
      <c r="AO58" s="5">
        <f>AO22-AO53</f>
        <v/>
      </c>
      <c r="AP58" s="5">
        <f>AP22-AP53</f>
        <v/>
      </c>
      <c r="AQ58" s="5">
        <f>AQ22-AQ53</f>
        <v/>
      </c>
      <c r="AR58" s="5">
        <f>AR22-AR53</f>
        <v/>
      </c>
      <c r="AS58" s="5">
        <f>AS22-AS53</f>
        <v/>
      </c>
      <c r="AT58" s="5">
        <f>AT22-AT53</f>
        <v/>
      </c>
      <c r="AU58" s="5">
        <f>AU22-AU53</f>
        <v/>
      </c>
      <c r="AV58" s="5">
        <f>AV22-AV53</f>
        <v/>
      </c>
      <c r="AW58" s="5">
        <f>AW22-AW53</f>
        <v/>
      </c>
      <c r="AX58" s="5">
        <f>AX22-AX53</f>
        <v/>
      </c>
      <c r="AY58" s="5">
        <f>AY22-AY53</f>
        <v/>
      </c>
      <c r="AZ58" s="5">
        <f>AZ22-AZ53</f>
        <v/>
      </c>
      <c r="BA58" s="5">
        <f>BA22-BA53</f>
        <v/>
      </c>
      <c r="BB58" s="5">
        <f>BB22-BB53</f>
        <v/>
      </c>
      <c r="BC58" s="5">
        <f>BC22-BC53</f>
        <v/>
      </c>
      <c r="BD58" s="5">
        <f>BD22-BD53</f>
        <v/>
      </c>
      <c r="BE58" s="5">
        <f>BE22-BE53</f>
        <v/>
      </c>
      <c r="BF58" s="5">
        <f>BF22-BF53</f>
        <v/>
      </c>
      <c r="BG58" s="5">
        <f>BG22-BG53</f>
        <v/>
      </c>
      <c r="BH58" s="5">
        <f>BH22-BH53</f>
        <v/>
      </c>
      <c r="BI58" s="5">
        <f>BI22-BI53</f>
        <v/>
      </c>
    </row>
    <row r="59">
      <c r="A59" t="inlineStr">
        <is>
          <t>営業利益率</t>
        </is>
      </c>
      <c r="B59" s="6">
        <f>IF(B22&lt;&gt;0,B58/B22,0)</f>
        <v/>
      </c>
      <c r="C59" s="6">
        <f>IF(C22&lt;&gt;0,C58/C22,0)</f>
        <v/>
      </c>
      <c r="D59" s="6">
        <f>IF(D22&lt;&gt;0,D58/D22,0)</f>
        <v/>
      </c>
      <c r="E59" s="6">
        <f>IF(E22&lt;&gt;0,E58/E22,0)</f>
        <v/>
      </c>
      <c r="F59" s="6">
        <f>IF(F22&lt;&gt;0,F58/F22,0)</f>
        <v/>
      </c>
      <c r="G59" s="6">
        <f>IF(G22&lt;&gt;0,G58/G22,0)</f>
        <v/>
      </c>
      <c r="H59" s="6">
        <f>IF(H22&lt;&gt;0,H58/H22,0)</f>
        <v/>
      </c>
      <c r="I59" s="6">
        <f>IF(I22&lt;&gt;0,I58/I22,0)</f>
        <v/>
      </c>
      <c r="J59" s="6">
        <f>IF(J22&lt;&gt;0,J58/J22,0)</f>
        <v/>
      </c>
      <c r="K59" s="6">
        <f>IF(K22&lt;&gt;0,K58/K22,0)</f>
        <v/>
      </c>
      <c r="L59" s="6">
        <f>IF(L22&lt;&gt;0,L58/L22,0)</f>
        <v/>
      </c>
      <c r="M59" s="6">
        <f>IF(M22&lt;&gt;0,M58/M22,0)</f>
        <v/>
      </c>
      <c r="N59" s="6">
        <f>IF(N22&lt;&gt;0,N58/N22,0)</f>
        <v/>
      </c>
      <c r="O59" s="6">
        <f>IF(O22&lt;&gt;0,O58/O22,0)</f>
        <v/>
      </c>
      <c r="P59" s="6">
        <f>IF(P22&lt;&gt;0,P58/P22,0)</f>
        <v/>
      </c>
      <c r="Q59" s="6">
        <f>IF(Q22&lt;&gt;0,Q58/Q22,0)</f>
        <v/>
      </c>
      <c r="R59" s="6">
        <f>IF(R22&lt;&gt;0,R58/R22,0)</f>
        <v/>
      </c>
      <c r="S59" s="6">
        <f>IF(S22&lt;&gt;0,S58/S22,0)</f>
        <v/>
      </c>
      <c r="T59" s="6">
        <f>IF(T22&lt;&gt;0,T58/T22,0)</f>
        <v/>
      </c>
      <c r="U59" s="6">
        <f>IF(U22&lt;&gt;0,U58/U22,0)</f>
        <v/>
      </c>
      <c r="V59" s="6">
        <f>IF(V22&lt;&gt;0,V58/V22,0)</f>
        <v/>
      </c>
      <c r="W59" s="6">
        <f>IF(W22&lt;&gt;0,W58/W22,0)</f>
        <v/>
      </c>
      <c r="X59" s="6">
        <f>IF(X22&lt;&gt;0,X58/X22,0)</f>
        <v/>
      </c>
      <c r="Y59" s="6">
        <f>IF(Y22&lt;&gt;0,Y58/Y22,0)</f>
        <v/>
      </c>
      <c r="Z59" s="6">
        <f>IF(Z22&lt;&gt;0,Z58/Z22,0)</f>
        <v/>
      </c>
      <c r="AA59" s="6">
        <f>IF(AA22&lt;&gt;0,AA58/AA22,0)</f>
        <v/>
      </c>
      <c r="AB59" s="6">
        <f>IF(AB22&lt;&gt;0,AB58/AB22,0)</f>
        <v/>
      </c>
      <c r="AC59" s="6">
        <f>IF(AC22&lt;&gt;0,AC58/AC22,0)</f>
        <v/>
      </c>
      <c r="AD59" s="6">
        <f>IF(AD22&lt;&gt;0,AD58/AD22,0)</f>
        <v/>
      </c>
      <c r="AE59" s="6">
        <f>IF(AE22&lt;&gt;0,AE58/AE22,0)</f>
        <v/>
      </c>
      <c r="AF59" s="6">
        <f>IF(AF22&lt;&gt;0,AF58/AF22,0)</f>
        <v/>
      </c>
      <c r="AG59" s="6">
        <f>IF(AG22&lt;&gt;0,AG58/AG22,0)</f>
        <v/>
      </c>
      <c r="AH59" s="6">
        <f>IF(AH22&lt;&gt;0,AH58/AH22,0)</f>
        <v/>
      </c>
      <c r="AI59" s="6">
        <f>IF(AI22&lt;&gt;0,AI58/AI22,0)</f>
        <v/>
      </c>
      <c r="AJ59" s="6">
        <f>IF(AJ22&lt;&gt;0,AJ58/AJ22,0)</f>
        <v/>
      </c>
      <c r="AK59" s="6">
        <f>IF(AK22&lt;&gt;0,AK58/AK22,0)</f>
        <v/>
      </c>
      <c r="AL59" s="6">
        <f>IF(AL22&lt;&gt;0,AL58/AL22,0)</f>
        <v/>
      </c>
      <c r="AM59" s="6">
        <f>IF(AM22&lt;&gt;0,AM58/AM22,0)</f>
        <v/>
      </c>
      <c r="AN59" s="6">
        <f>IF(AN22&lt;&gt;0,AN58/AN22,0)</f>
        <v/>
      </c>
      <c r="AO59" s="6">
        <f>IF(AO22&lt;&gt;0,AO58/AO22,0)</f>
        <v/>
      </c>
      <c r="AP59" s="6">
        <f>IF(AP22&lt;&gt;0,AP58/AP22,0)</f>
        <v/>
      </c>
      <c r="AQ59" s="6">
        <f>IF(AQ22&lt;&gt;0,AQ58/AQ22,0)</f>
        <v/>
      </c>
      <c r="AR59" s="6">
        <f>IF(AR22&lt;&gt;0,AR58/AR22,0)</f>
        <v/>
      </c>
      <c r="AS59" s="6">
        <f>IF(AS22&lt;&gt;0,AS58/AS22,0)</f>
        <v/>
      </c>
      <c r="AT59" s="6">
        <f>IF(AT22&lt;&gt;0,AT58/AT22,0)</f>
        <v/>
      </c>
      <c r="AU59" s="6">
        <f>IF(AU22&lt;&gt;0,AU58/AU22,0)</f>
        <v/>
      </c>
      <c r="AV59" s="6">
        <f>IF(AV22&lt;&gt;0,AV58/AV22,0)</f>
        <v/>
      </c>
      <c r="AW59" s="6">
        <f>IF(AW22&lt;&gt;0,AW58/AW22,0)</f>
        <v/>
      </c>
      <c r="AX59" s="6">
        <f>IF(AX22&lt;&gt;0,AX58/AX22,0)</f>
        <v/>
      </c>
      <c r="AY59" s="6">
        <f>IF(AY22&lt;&gt;0,AY58/AY22,0)</f>
        <v/>
      </c>
      <c r="AZ59" s="6">
        <f>IF(AZ22&lt;&gt;0,AZ58/AZ22,0)</f>
        <v/>
      </c>
      <c r="BA59" s="6">
        <f>IF(BA22&lt;&gt;0,BA58/BA22,0)</f>
        <v/>
      </c>
      <c r="BB59" s="6">
        <f>IF(BB22&lt;&gt;0,BB58/BB22,0)</f>
        <v/>
      </c>
      <c r="BC59" s="6">
        <f>IF(BC22&lt;&gt;0,BC58/BC22,0)</f>
        <v/>
      </c>
      <c r="BD59" s="6">
        <f>IF(BD22&lt;&gt;0,BD58/BD22,0)</f>
        <v/>
      </c>
      <c r="BE59" s="6">
        <f>IF(BE22&lt;&gt;0,BE58/BE22,0)</f>
        <v/>
      </c>
      <c r="BF59" s="6">
        <f>IF(BF22&lt;&gt;0,BF58/BF22,0)</f>
        <v/>
      </c>
      <c r="BG59" s="6">
        <f>IF(BG22&lt;&gt;0,BG58/BG22,0)</f>
        <v/>
      </c>
      <c r="BH59" s="6">
        <f>IF(BH22&lt;&gt;0,BH58/BH22,0)</f>
        <v/>
      </c>
      <c r="BI59" s="6">
        <f>IF(BI22&lt;&gt;0,BI58/BI22,0)</f>
        <v/>
      </c>
    </row>
    <row r="60">
      <c r="A60" t="inlineStr">
        <is>
          <t>累積営業利益</t>
        </is>
      </c>
      <c r="B60" s="5">
        <f>B58</f>
        <v/>
      </c>
      <c r="C60" s="5">
        <f>B60+C58</f>
        <v/>
      </c>
      <c r="D60" s="5">
        <f>C60+D58</f>
        <v/>
      </c>
      <c r="E60" s="5">
        <f>D60+E58</f>
        <v/>
      </c>
      <c r="F60" s="5">
        <f>E60+F58</f>
        <v/>
      </c>
      <c r="G60" s="5">
        <f>F60+G58</f>
        <v/>
      </c>
      <c r="H60" s="5">
        <f>G60+H58</f>
        <v/>
      </c>
      <c r="I60" s="5">
        <f>H60+I58</f>
        <v/>
      </c>
      <c r="J60" s="5">
        <f>I60+J58</f>
        <v/>
      </c>
      <c r="K60" s="5">
        <f>J60+K58</f>
        <v/>
      </c>
      <c r="L60" s="5">
        <f>K60+L58</f>
        <v/>
      </c>
      <c r="M60" s="5">
        <f>L60+M58</f>
        <v/>
      </c>
      <c r="N60" s="5">
        <f>M60+N58</f>
        <v/>
      </c>
      <c r="O60" s="5">
        <f>N60+O58</f>
        <v/>
      </c>
      <c r="P60" s="5">
        <f>O60+P58</f>
        <v/>
      </c>
      <c r="Q60" s="5">
        <f>P60+Q58</f>
        <v/>
      </c>
      <c r="R60" s="5">
        <f>Q60+R58</f>
        <v/>
      </c>
      <c r="S60" s="5">
        <f>R60+S58</f>
        <v/>
      </c>
      <c r="T60" s="5">
        <f>S60+T58</f>
        <v/>
      </c>
      <c r="U60" s="5">
        <f>T60+U58</f>
        <v/>
      </c>
      <c r="V60" s="5">
        <f>U60+V58</f>
        <v/>
      </c>
      <c r="W60" s="5">
        <f>V60+W58</f>
        <v/>
      </c>
      <c r="X60" s="5">
        <f>W60+X58</f>
        <v/>
      </c>
      <c r="Y60" s="5">
        <f>X60+Y58</f>
        <v/>
      </c>
      <c r="Z60" s="5">
        <f>Y60+Z58</f>
        <v/>
      </c>
      <c r="AA60" s="5">
        <f>Z60+AA58</f>
        <v/>
      </c>
      <c r="AB60" s="5">
        <f>AA60+AB58</f>
        <v/>
      </c>
      <c r="AC60" s="5">
        <f>AB60+AC58</f>
        <v/>
      </c>
      <c r="AD60" s="5">
        <f>AC60+AD58</f>
        <v/>
      </c>
      <c r="AE60" s="5">
        <f>AD60+AE58</f>
        <v/>
      </c>
      <c r="AF60" s="5">
        <f>AE60+AF58</f>
        <v/>
      </c>
      <c r="AG60" s="5">
        <f>AF60+AG58</f>
        <v/>
      </c>
      <c r="AH60" s="5">
        <f>AG60+AH58</f>
        <v/>
      </c>
      <c r="AI60" s="5">
        <f>AH60+AI58</f>
        <v/>
      </c>
      <c r="AJ60" s="5">
        <f>AI60+AJ58</f>
        <v/>
      </c>
      <c r="AK60" s="5">
        <f>AJ60+AK58</f>
        <v/>
      </c>
      <c r="AL60" s="5">
        <f>AK60+AL58</f>
        <v/>
      </c>
      <c r="AM60" s="5">
        <f>AL60+AM58</f>
        <v/>
      </c>
      <c r="AN60" s="5">
        <f>AM60+AN58</f>
        <v/>
      </c>
      <c r="AO60" s="5">
        <f>AN60+AO58</f>
        <v/>
      </c>
      <c r="AP60" s="5">
        <f>AO60+AP58</f>
        <v/>
      </c>
      <c r="AQ60" s="5">
        <f>AP60+AQ58</f>
        <v/>
      </c>
      <c r="AR60" s="5">
        <f>AQ60+AR58</f>
        <v/>
      </c>
      <c r="AS60" s="5">
        <f>AR60+AS58</f>
        <v/>
      </c>
      <c r="AT60" s="5">
        <f>AS60+AT58</f>
        <v/>
      </c>
      <c r="AU60" s="5">
        <f>AT60+AU58</f>
        <v/>
      </c>
      <c r="AV60" s="5">
        <f>AU60+AV58</f>
        <v/>
      </c>
      <c r="AW60" s="5">
        <f>AV60+AW58</f>
        <v/>
      </c>
      <c r="AX60" s="5">
        <f>AW60+AX58</f>
        <v/>
      </c>
      <c r="AY60" s="5">
        <f>AX60+AY58</f>
        <v/>
      </c>
      <c r="AZ60" s="5">
        <f>AY60+AZ58</f>
        <v/>
      </c>
      <c r="BA60" s="5">
        <f>AZ60+BA58</f>
        <v/>
      </c>
      <c r="BB60" s="5">
        <f>BA60+BB58</f>
        <v/>
      </c>
      <c r="BC60" s="5">
        <f>BB60+BC58</f>
        <v/>
      </c>
      <c r="BD60" s="5">
        <f>BC60+BD58</f>
        <v/>
      </c>
      <c r="BE60" s="5">
        <f>BD60+BE58</f>
        <v/>
      </c>
      <c r="BF60" s="5">
        <f>BE60+BF58</f>
        <v/>
      </c>
      <c r="BG60" s="5">
        <f>BF60+BG58</f>
        <v/>
      </c>
      <c r="BH60" s="5">
        <f>BG60+BH58</f>
        <v/>
      </c>
      <c r="BI60" s="5">
        <f>BH60+BI58</f>
        <v/>
      </c>
    </row>
    <row r="62">
      <c r="A62" s="16" t="inlineStr">
        <is>
          <t>【KPI】</t>
        </is>
      </c>
    </row>
    <row r="63">
      <c r="A63" t="inlineStr">
        <is>
          <t>総顧客数（SD+BPO）</t>
        </is>
      </c>
      <c r="B63" s="8">
        <f>B10+B14</f>
        <v/>
      </c>
      <c r="C63" s="8">
        <f>C10+C14</f>
        <v/>
      </c>
      <c r="D63" s="8">
        <f>D10+D14</f>
        <v/>
      </c>
      <c r="E63" s="8">
        <f>E10+E14</f>
        <v/>
      </c>
      <c r="F63" s="8">
        <f>F10+F14</f>
        <v/>
      </c>
      <c r="G63" s="8">
        <f>G10+G14</f>
        <v/>
      </c>
      <c r="H63" s="8">
        <f>H10+H14</f>
        <v/>
      </c>
      <c r="I63" s="8">
        <f>I10+I14</f>
        <v/>
      </c>
      <c r="J63" s="8">
        <f>J10+J14</f>
        <v/>
      </c>
      <c r="K63" s="8">
        <f>K10+K14</f>
        <v/>
      </c>
      <c r="L63" s="8">
        <f>L10+L14</f>
        <v/>
      </c>
      <c r="M63" s="8">
        <f>M10+M14</f>
        <v/>
      </c>
      <c r="N63" s="8">
        <f>N10+N14</f>
        <v/>
      </c>
      <c r="O63" s="8">
        <f>O10+O14</f>
        <v/>
      </c>
      <c r="P63" s="8">
        <f>P10+P14</f>
        <v/>
      </c>
      <c r="Q63" s="8">
        <f>Q10+Q14</f>
        <v/>
      </c>
      <c r="R63" s="8">
        <f>R10+R14</f>
        <v/>
      </c>
      <c r="S63" s="8">
        <f>S10+S14</f>
        <v/>
      </c>
      <c r="T63" s="8">
        <f>T10+T14</f>
        <v/>
      </c>
      <c r="U63" s="8">
        <f>U10+U14</f>
        <v/>
      </c>
      <c r="V63" s="8">
        <f>V10+V14</f>
        <v/>
      </c>
      <c r="W63" s="8">
        <f>W10+W14</f>
        <v/>
      </c>
      <c r="X63" s="8">
        <f>X10+X14</f>
        <v/>
      </c>
      <c r="Y63" s="8">
        <f>Y10+Y14</f>
        <v/>
      </c>
      <c r="Z63" s="8">
        <f>Z10+Z14</f>
        <v/>
      </c>
      <c r="AA63" s="8">
        <f>AA10+AA14</f>
        <v/>
      </c>
      <c r="AB63" s="8">
        <f>AB10+AB14</f>
        <v/>
      </c>
      <c r="AC63" s="8">
        <f>AC10+AC14</f>
        <v/>
      </c>
      <c r="AD63" s="8">
        <f>AD10+AD14</f>
        <v/>
      </c>
      <c r="AE63" s="8">
        <f>AE10+AE14</f>
        <v/>
      </c>
      <c r="AF63" s="8">
        <f>AF10+AF14</f>
        <v/>
      </c>
      <c r="AG63" s="8">
        <f>AG10+AG14</f>
        <v/>
      </c>
      <c r="AH63" s="8">
        <f>AH10+AH14</f>
        <v/>
      </c>
      <c r="AI63" s="8">
        <f>AI10+AI14</f>
        <v/>
      </c>
      <c r="AJ63" s="8">
        <f>AJ10+AJ14</f>
        <v/>
      </c>
      <c r="AK63" s="8">
        <f>AK10+AK14</f>
        <v/>
      </c>
      <c r="AL63" s="8">
        <f>AL10+AL14</f>
        <v/>
      </c>
      <c r="AM63" s="8">
        <f>AM10+AM14</f>
        <v/>
      </c>
      <c r="AN63" s="8">
        <f>AN10+AN14</f>
        <v/>
      </c>
      <c r="AO63" s="8">
        <f>AO10+AO14</f>
        <v/>
      </c>
      <c r="AP63" s="8">
        <f>AP10+AP14</f>
        <v/>
      </c>
      <c r="AQ63" s="8">
        <f>AQ10+AQ14</f>
        <v/>
      </c>
      <c r="AR63" s="8">
        <f>AR10+AR14</f>
        <v/>
      </c>
      <c r="AS63" s="8">
        <f>AS10+AS14</f>
        <v/>
      </c>
      <c r="AT63" s="8">
        <f>AT10+AT14</f>
        <v/>
      </c>
      <c r="AU63" s="8">
        <f>AU10+AU14</f>
        <v/>
      </c>
      <c r="AV63" s="8">
        <f>AV10+AV14</f>
        <v/>
      </c>
      <c r="AW63" s="8">
        <f>AW10+AW14</f>
        <v/>
      </c>
      <c r="AX63" s="8">
        <f>AX10+AX14</f>
        <v/>
      </c>
      <c r="AY63" s="8">
        <f>AY10+AY14</f>
        <v/>
      </c>
      <c r="AZ63" s="8">
        <f>AZ10+AZ14</f>
        <v/>
      </c>
      <c r="BA63" s="8">
        <f>BA10+BA14</f>
        <v/>
      </c>
      <c r="BB63" s="8">
        <f>BB10+BB14</f>
        <v/>
      </c>
      <c r="BC63" s="8">
        <f>BC10+BC14</f>
        <v/>
      </c>
      <c r="BD63" s="8">
        <f>BD10+BD14</f>
        <v/>
      </c>
      <c r="BE63" s="8">
        <f>BE10+BE14</f>
        <v/>
      </c>
      <c r="BF63" s="8">
        <f>BF10+BF14</f>
        <v/>
      </c>
      <c r="BG63" s="8">
        <f>BG10+BG14</f>
        <v/>
      </c>
      <c r="BH63" s="8">
        <f>BH10+BH14</f>
        <v/>
      </c>
      <c r="BI63" s="8">
        <f>BI10+BI14</f>
        <v/>
      </c>
    </row>
    <row r="64">
      <c r="A64" t="inlineStr">
        <is>
          <t>平均ARPA（MRR/総顧客）</t>
        </is>
      </c>
      <c r="B64" s="5">
        <f>IF(B63&gt;0,B21/B63,0)</f>
        <v/>
      </c>
      <c r="C64" s="5">
        <f>IF(C63&gt;0,C21/C63,0)</f>
        <v/>
      </c>
      <c r="D64" s="5">
        <f>IF(D63&gt;0,D21/D63,0)</f>
        <v/>
      </c>
      <c r="E64" s="5">
        <f>IF(E63&gt;0,E21/E63,0)</f>
        <v/>
      </c>
      <c r="F64" s="5">
        <f>IF(F63&gt;0,F21/F63,0)</f>
        <v/>
      </c>
      <c r="G64" s="5">
        <f>IF(G63&gt;0,G21/G63,0)</f>
        <v/>
      </c>
      <c r="H64" s="5">
        <f>IF(H63&gt;0,H21/H63,0)</f>
        <v/>
      </c>
      <c r="I64" s="5">
        <f>IF(I63&gt;0,I21/I63,0)</f>
        <v/>
      </c>
      <c r="J64" s="5">
        <f>IF(J63&gt;0,J21/J63,0)</f>
        <v/>
      </c>
      <c r="K64" s="5">
        <f>IF(K63&gt;0,K21/K63,0)</f>
        <v/>
      </c>
      <c r="L64" s="5">
        <f>IF(L63&gt;0,L21/L63,0)</f>
        <v/>
      </c>
      <c r="M64" s="5">
        <f>IF(M63&gt;0,M21/M63,0)</f>
        <v/>
      </c>
      <c r="N64" s="5">
        <f>IF(N63&gt;0,N21/N63,0)</f>
        <v/>
      </c>
      <c r="O64" s="5">
        <f>IF(O63&gt;0,O21/O63,0)</f>
        <v/>
      </c>
      <c r="P64" s="5">
        <f>IF(P63&gt;0,P21/P63,0)</f>
        <v/>
      </c>
      <c r="Q64" s="5">
        <f>IF(Q63&gt;0,Q21/Q63,0)</f>
        <v/>
      </c>
      <c r="R64" s="5">
        <f>IF(R63&gt;0,R21/R63,0)</f>
        <v/>
      </c>
      <c r="S64" s="5">
        <f>IF(S63&gt;0,S21/S63,0)</f>
        <v/>
      </c>
      <c r="T64" s="5">
        <f>IF(T63&gt;0,T21/T63,0)</f>
        <v/>
      </c>
      <c r="U64" s="5">
        <f>IF(U63&gt;0,U21/U63,0)</f>
        <v/>
      </c>
      <c r="V64" s="5">
        <f>IF(V63&gt;0,V21/V63,0)</f>
        <v/>
      </c>
      <c r="W64" s="5">
        <f>IF(W63&gt;0,W21/W63,0)</f>
        <v/>
      </c>
      <c r="X64" s="5">
        <f>IF(X63&gt;0,X21/X63,0)</f>
        <v/>
      </c>
      <c r="Y64" s="5">
        <f>IF(Y63&gt;0,Y21/Y63,0)</f>
        <v/>
      </c>
      <c r="Z64" s="5">
        <f>IF(Z63&gt;0,Z21/Z63,0)</f>
        <v/>
      </c>
      <c r="AA64" s="5">
        <f>IF(AA63&gt;0,AA21/AA63,0)</f>
        <v/>
      </c>
      <c r="AB64" s="5">
        <f>IF(AB63&gt;0,AB21/AB63,0)</f>
        <v/>
      </c>
      <c r="AC64" s="5">
        <f>IF(AC63&gt;0,AC21/AC63,0)</f>
        <v/>
      </c>
      <c r="AD64" s="5">
        <f>IF(AD63&gt;0,AD21/AD63,0)</f>
        <v/>
      </c>
      <c r="AE64" s="5">
        <f>IF(AE63&gt;0,AE21/AE63,0)</f>
        <v/>
      </c>
      <c r="AF64" s="5">
        <f>IF(AF63&gt;0,AF21/AF63,0)</f>
        <v/>
      </c>
      <c r="AG64" s="5">
        <f>IF(AG63&gt;0,AG21/AG63,0)</f>
        <v/>
      </c>
      <c r="AH64" s="5">
        <f>IF(AH63&gt;0,AH21/AH63,0)</f>
        <v/>
      </c>
      <c r="AI64" s="5">
        <f>IF(AI63&gt;0,AI21/AI63,0)</f>
        <v/>
      </c>
      <c r="AJ64" s="5">
        <f>IF(AJ63&gt;0,AJ21/AJ63,0)</f>
        <v/>
      </c>
      <c r="AK64" s="5">
        <f>IF(AK63&gt;0,AK21/AK63,0)</f>
        <v/>
      </c>
      <c r="AL64" s="5">
        <f>IF(AL63&gt;0,AL21/AL63,0)</f>
        <v/>
      </c>
      <c r="AM64" s="5">
        <f>IF(AM63&gt;0,AM21/AM63,0)</f>
        <v/>
      </c>
      <c r="AN64" s="5">
        <f>IF(AN63&gt;0,AN21/AN63,0)</f>
        <v/>
      </c>
      <c r="AO64" s="5">
        <f>IF(AO63&gt;0,AO21/AO63,0)</f>
        <v/>
      </c>
      <c r="AP64" s="5">
        <f>IF(AP63&gt;0,AP21/AP63,0)</f>
        <v/>
      </c>
      <c r="AQ64" s="5">
        <f>IF(AQ63&gt;0,AQ21/AQ63,0)</f>
        <v/>
      </c>
      <c r="AR64" s="5">
        <f>IF(AR63&gt;0,AR21/AR63,0)</f>
        <v/>
      </c>
      <c r="AS64" s="5">
        <f>IF(AS63&gt;0,AS21/AS63,0)</f>
        <v/>
      </c>
      <c r="AT64" s="5">
        <f>IF(AT63&gt;0,AT21/AT63,0)</f>
        <v/>
      </c>
      <c r="AU64" s="5">
        <f>IF(AU63&gt;0,AU21/AU63,0)</f>
        <v/>
      </c>
      <c r="AV64" s="5">
        <f>IF(AV63&gt;0,AV21/AV63,0)</f>
        <v/>
      </c>
      <c r="AW64" s="5">
        <f>IF(AW63&gt;0,AW21/AW63,0)</f>
        <v/>
      </c>
      <c r="AX64" s="5">
        <f>IF(AX63&gt;0,AX21/AX63,0)</f>
        <v/>
      </c>
      <c r="AY64" s="5">
        <f>IF(AY63&gt;0,AY21/AY63,0)</f>
        <v/>
      </c>
      <c r="AZ64" s="5">
        <f>IF(AZ63&gt;0,AZ21/AZ63,0)</f>
        <v/>
      </c>
      <c r="BA64" s="5">
        <f>IF(BA63&gt;0,BA21/BA63,0)</f>
        <v/>
      </c>
      <c r="BB64" s="5">
        <f>IF(BB63&gt;0,BB21/BB63,0)</f>
        <v/>
      </c>
      <c r="BC64" s="5">
        <f>IF(BC63&gt;0,BC21/BC63,0)</f>
        <v/>
      </c>
      <c r="BD64" s="5">
        <f>IF(BD63&gt;0,BD21/BD63,0)</f>
        <v/>
      </c>
      <c r="BE64" s="5">
        <f>IF(BE63&gt;0,BE21/BE63,0)</f>
        <v/>
      </c>
      <c r="BF64" s="5">
        <f>IF(BF63&gt;0,BF21/BF63,0)</f>
        <v/>
      </c>
      <c r="BG64" s="5">
        <f>IF(BG63&gt;0,BG21/BG63,0)</f>
        <v/>
      </c>
      <c r="BH64" s="5">
        <f>IF(BH63&gt;0,BH21/BH63,0)</f>
        <v/>
      </c>
      <c r="BI64" s="5">
        <f>IF(BI63&gt;0,BI21/BI63,0)</f>
        <v/>
      </c>
    </row>
    <row r="65">
      <c r="A65" t="inlineStr">
        <is>
          <t>高ARPA顧客数（BPO）</t>
        </is>
      </c>
      <c r="B65" s="8">
        <f>B14</f>
        <v/>
      </c>
      <c r="C65" s="8">
        <f>C14</f>
        <v/>
      </c>
      <c r="D65" s="8">
        <f>D14</f>
        <v/>
      </c>
      <c r="E65" s="8">
        <f>E14</f>
        <v/>
      </c>
      <c r="F65" s="8">
        <f>F14</f>
        <v/>
      </c>
      <c r="G65" s="8">
        <f>G14</f>
        <v/>
      </c>
      <c r="H65" s="8">
        <f>H14</f>
        <v/>
      </c>
      <c r="I65" s="8">
        <f>I14</f>
        <v/>
      </c>
      <c r="J65" s="8">
        <f>J14</f>
        <v/>
      </c>
      <c r="K65" s="8">
        <f>K14</f>
        <v/>
      </c>
      <c r="L65" s="8">
        <f>L14</f>
        <v/>
      </c>
      <c r="M65" s="8">
        <f>M14</f>
        <v/>
      </c>
      <c r="N65" s="8">
        <f>N14</f>
        <v/>
      </c>
      <c r="O65" s="8">
        <f>O14</f>
        <v/>
      </c>
      <c r="P65" s="8">
        <f>P14</f>
        <v/>
      </c>
      <c r="Q65" s="8">
        <f>Q14</f>
        <v/>
      </c>
      <c r="R65" s="8">
        <f>R14</f>
        <v/>
      </c>
      <c r="S65" s="8">
        <f>S14</f>
        <v/>
      </c>
      <c r="T65" s="8">
        <f>T14</f>
        <v/>
      </c>
      <c r="U65" s="8">
        <f>U14</f>
        <v/>
      </c>
      <c r="V65" s="8">
        <f>V14</f>
        <v/>
      </c>
      <c r="W65" s="8">
        <f>W14</f>
        <v/>
      </c>
      <c r="X65" s="8">
        <f>X14</f>
        <v/>
      </c>
      <c r="Y65" s="8">
        <f>Y14</f>
        <v/>
      </c>
      <c r="Z65" s="8">
        <f>Z14</f>
        <v/>
      </c>
      <c r="AA65" s="8">
        <f>AA14</f>
        <v/>
      </c>
      <c r="AB65" s="8">
        <f>AB14</f>
        <v/>
      </c>
      <c r="AC65" s="8">
        <f>AC14</f>
        <v/>
      </c>
      <c r="AD65" s="8">
        <f>AD14</f>
        <v/>
      </c>
      <c r="AE65" s="8">
        <f>AE14</f>
        <v/>
      </c>
      <c r="AF65" s="8">
        <f>AF14</f>
        <v/>
      </c>
      <c r="AG65" s="8">
        <f>AG14</f>
        <v/>
      </c>
      <c r="AH65" s="8">
        <f>AH14</f>
        <v/>
      </c>
      <c r="AI65" s="8">
        <f>AI14</f>
        <v/>
      </c>
      <c r="AJ65" s="8">
        <f>AJ14</f>
        <v/>
      </c>
      <c r="AK65" s="8">
        <f>AK14</f>
        <v/>
      </c>
      <c r="AL65" s="8">
        <f>AL14</f>
        <v/>
      </c>
      <c r="AM65" s="8">
        <f>AM14</f>
        <v/>
      </c>
      <c r="AN65" s="8">
        <f>AN14</f>
        <v/>
      </c>
      <c r="AO65" s="8">
        <f>AO14</f>
        <v/>
      </c>
      <c r="AP65" s="8">
        <f>AP14</f>
        <v/>
      </c>
      <c r="AQ65" s="8">
        <f>AQ14</f>
        <v/>
      </c>
      <c r="AR65" s="8">
        <f>AR14</f>
        <v/>
      </c>
      <c r="AS65" s="8">
        <f>AS14</f>
        <v/>
      </c>
      <c r="AT65" s="8">
        <f>AT14</f>
        <v/>
      </c>
      <c r="AU65" s="8">
        <f>AU14</f>
        <v/>
      </c>
      <c r="AV65" s="8">
        <f>AV14</f>
        <v/>
      </c>
      <c r="AW65" s="8">
        <f>AW14</f>
        <v/>
      </c>
      <c r="AX65" s="8">
        <f>AX14</f>
        <v/>
      </c>
      <c r="AY65" s="8">
        <f>AY14</f>
        <v/>
      </c>
      <c r="AZ65" s="8">
        <f>AZ14</f>
        <v/>
      </c>
      <c r="BA65" s="8">
        <f>BA14</f>
        <v/>
      </c>
      <c r="BB65" s="8">
        <f>BB14</f>
        <v/>
      </c>
      <c r="BC65" s="8">
        <f>BC14</f>
        <v/>
      </c>
      <c r="BD65" s="8">
        <f>BD14</f>
        <v/>
      </c>
      <c r="BE65" s="8">
        <f>BE14</f>
        <v/>
      </c>
      <c r="BF65" s="8">
        <f>BF14</f>
        <v/>
      </c>
      <c r="BG65" s="8">
        <f>BG14</f>
        <v/>
      </c>
      <c r="BH65" s="8">
        <f>BH14</f>
        <v/>
      </c>
      <c r="BI65" s="8">
        <f>BI14</f>
        <v/>
      </c>
    </row>
    <row r="66">
      <c r="A66" t="inlineStr">
        <is>
          <t>ARR</t>
        </is>
      </c>
      <c r="B66" s="5">
        <f>B21*12</f>
        <v/>
      </c>
      <c r="C66" s="5">
        <f>C21*12</f>
        <v/>
      </c>
      <c r="D66" s="5">
        <f>D21*12</f>
        <v/>
      </c>
      <c r="E66" s="5">
        <f>E21*12</f>
        <v/>
      </c>
      <c r="F66" s="5">
        <f>F21*12</f>
        <v/>
      </c>
      <c r="G66" s="5">
        <f>G21*12</f>
        <v/>
      </c>
      <c r="H66" s="5">
        <f>H21*12</f>
        <v/>
      </c>
      <c r="I66" s="5">
        <f>I21*12</f>
        <v/>
      </c>
      <c r="J66" s="5">
        <f>J21*12</f>
        <v/>
      </c>
      <c r="K66" s="5">
        <f>K21*12</f>
        <v/>
      </c>
      <c r="L66" s="5">
        <f>L21*12</f>
        <v/>
      </c>
      <c r="M66" s="5">
        <f>M21*12</f>
        <v/>
      </c>
      <c r="N66" s="5">
        <f>N21*12</f>
        <v/>
      </c>
      <c r="O66" s="5">
        <f>O21*12</f>
        <v/>
      </c>
      <c r="P66" s="5">
        <f>P21*12</f>
        <v/>
      </c>
      <c r="Q66" s="5">
        <f>Q21*12</f>
        <v/>
      </c>
      <c r="R66" s="5">
        <f>R21*12</f>
        <v/>
      </c>
      <c r="S66" s="5">
        <f>S21*12</f>
        <v/>
      </c>
      <c r="T66" s="5">
        <f>T21*12</f>
        <v/>
      </c>
      <c r="U66" s="5">
        <f>U21*12</f>
        <v/>
      </c>
      <c r="V66" s="5">
        <f>V21*12</f>
        <v/>
      </c>
      <c r="W66" s="5">
        <f>W21*12</f>
        <v/>
      </c>
      <c r="X66" s="5">
        <f>X21*12</f>
        <v/>
      </c>
      <c r="Y66" s="5">
        <f>Y21*12</f>
        <v/>
      </c>
      <c r="Z66" s="5">
        <f>Z21*12</f>
        <v/>
      </c>
      <c r="AA66" s="5">
        <f>AA21*12</f>
        <v/>
      </c>
      <c r="AB66" s="5">
        <f>AB21*12</f>
        <v/>
      </c>
      <c r="AC66" s="5">
        <f>AC21*12</f>
        <v/>
      </c>
      <c r="AD66" s="5">
        <f>AD21*12</f>
        <v/>
      </c>
      <c r="AE66" s="5">
        <f>AE21*12</f>
        <v/>
      </c>
      <c r="AF66" s="5">
        <f>AF21*12</f>
        <v/>
      </c>
      <c r="AG66" s="5">
        <f>AG21*12</f>
        <v/>
      </c>
      <c r="AH66" s="5">
        <f>AH21*12</f>
        <v/>
      </c>
      <c r="AI66" s="5">
        <f>AI21*12</f>
        <v/>
      </c>
      <c r="AJ66" s="5">
        <f>AJ21*12</f>
        <v/>
      </c>
      <c r="AK66" s="5">
        <f>AK21*12</f>
        <v/>
      </c>
      <c r="AL66" s="5">
        <f>AL21*12</f>
        <v/>
      </c>
      <c r="AM66" s="5">
        <f>AM21*12</f>
        <v/>
      </c>
      <c r="AN66" s="5">
        <f>AN21*12</f>
        <v/>
      </c>
      <c r="AO66" s="5">
        <f>AO21*12</f>
        <v/>
      </c>
      <c r="AP66" s="5">
        <f>AP21*12</f>
        <v/>
      </c>
      <c r="AQ66" s="5">
        <f>AQ21*12</f>
        <v/>
      </c>
      <c r="AR66" s="5">
        <f>AR21*12</f>
        <v/>
      </c>
      <c r="AS66" s="5">
        <f>AS21*12</f>
        <v/>
      </c>
      <c r="AT66" s="5">
        <f>AT21*12</f>
        <v/>
      </c>
      <c r="AU66" s="5">
        <f>AU21*12</f>
        <v/>
      </c>
      <c r="AV66" s="5">
        <f>AV21*12</f>
        <v/>
      </c>
      <c r="AW66" s="5">
        <f>AW21*12</f>
        <v/>
      </c>
      <c r="AX66" s="5">
        <f>AX21*12</f>
        <v/>
      </c>
      <c r="AY66" s="5">
        <f>AY21*12</f>
        <v/>
      </c>
      <c r="AZ66" s="5">
        <f>AZ21*12</f>
        <v/>
      </c>
      <c r="BA66" s="5">
        <f>BA21*12</f>
        <v/>
      </c>
      <c r="BB66" s="5">
        <f>BB21*12</f>
        <v/>
      </c>
      <c r="BC66" s="5">
        <f>BC21*12</f>
        <v/>
      </c>
      <c r="BD66" s="5">
        <f>BD21*12</f>
        <v/>
      </c>
      <c r="BE66" s="5">
        <f>BE21*12</f>
        <v/>
      </c>
      <c r="BF66" s="5">
        <f>BF21*12</f>
        <v/>
      </c>
      <c r="BG66" s="5">
        <f>BG21*12</f>
        <v/>
      </c>
      <c r="BH66" s="5">
        <f>BH21*12</f>
        <v/>
      </c>
      <c r="BI66" s="5">
        <f>BI21*12</f>
        <v/>
      </c>
    </row>
    <row r="68">
      <c r="A68" s="16" t="inlineStr">
        <is>
          <t>【キャッシュフロー】</t>
        </is>
      </c>
    </row>
    <row r="69">
      <c r="A69" t="inlineStr">
        <is>
          <t>調達資金（シード/公庫/SeriesA）</t>
        </is>
      </c>
      <c r="B69" s="5">
        <f>IF(1=1,'前提'!$B$106+'前提'!$B$107+'前提'!$B$108+'前提'!$B$109,0)+IF(1='前提'!$B$116,'前提'!$B$114,0)</f>
        <v/>
      </c>
      <c r="C69" s="5">
        <f>IF(2=1,'前提'!$B$106+'前提'!$B$107+'前提'!$B$108+'前提'!$B$109,0)+IF(2='前提'!$B$116,'前提'!$B$114,0)</f>
        <v/>
      </c>
      <c r="D69" s="5">
        <f>IF(3=1,'前提'!$B$106+'前提'!$B$107+'前提'!$B$108+'前提'!$B$109,0)+IF(3='前提'!$B$116,'前提'!$B$114,0)</f>
        <v/>
      </c>
      <c r="E69" s="5">
        <f>IF(4=1,'前提'!$B$106+'前提'!$B$107+'前提'!$B$108+'前提'!$B$109,0)+IF(4='前提'!$B$116,'前提'!$B$114,0)</f>
        <v/>
      </c>
      <c r="F69" s="5">
        <f>IF(5=1,'前提'!$B$106+'前提'!$B$107+'前提'!$B$108+'前提'!$B$109,0)+IF(5='前提'!$B$116,'前提'!$B$114,0)</f>
        <v/>
      </c>
      <c r="G69" s="5">
        <f>IF(6=1,'前提'!$B$106+'前提'!$B$107+'前提'!$B$108+'前提'!$B$109,0)+IF(6='前提'!$B$116,'前提'!$B$114,0)</f>
        <v/>
      </c>
      <c r="H69" s="5">
        <f>IF(7=1,'前提'!$B$106+'前提'!$B$107+'前提'!$B$108+'前提'!$B$109,0)+IF(7='前提'!$B$116,'前提'!$B$114,0)</f>
        <v/>
      </c>
      <c r="I69" s="5">
        <f>IF(8=1,'前提'!$B$106+'前提'!$B$107+'前提'!$B$108+'前提'!$B$109,0)+IF(8='前提'!$B$116,'前提'!$B$114,0)</f>
        <v/>
      </c>
      <c r="J69" s="5">
        <f>IF(9=1,'前提'!$B$106+'前提'!$B$107+'前提'!$B$108+'前提'!$B$109,0)+IF(9='前提'!$B$116,'前提'!$B$114,0)</f>
        <v/>
      </c>
      <c r="K69" s="5">
        <f>IF(10=1,'前提'!$B$106+'前提'!$B$107+'前提'!$B$108+'前提'!$B$109,0)+IF(10='前提'!$B$116,'前提'!$B$114,0)</f>
        <v/>
      </c>
      <c r="L69" s="5">
        <f>IF(11=1,'前提'!$B$106+'前提'!$B$107+'前提'!$B$108+'前提'!$B$109,0)+IF(11='前提'!$B$116,'前提'!$B$114,0)</f>
        <v/>
      </c>
      <c r="M69" s="5">
        <f>IF(12=1,'前提'!$B$106+'前提'!$B$107+'前提'!$B$108+'前提'!$B$109,0)+IF(12='前提'!$B$116,'前提'!$B$114,0)</f>
        <v/>
      </c>
      <c r="N69" s="5">
        <f>IF(13=1,'前提'!$B$106+'前提'!$B$107+'前提'!$B$108+'前提'!$B$109,0)+IF(13='前提'!$B$116,'前提'!$B$114,0)</f>
        <v/>
      </c>
      <c r="O69" s="5">
        <f>IF(14=1,'前提'!$B$106+'前提'!$B$107+'前提'!$B$108+'前提'!$B$109,0)+IF(14='前提'!$B$116,'前提'!$B$114,0)</f>
        <v/>
      </c>
      <c r="P69" s="5">
        <f>IF(15=1,'前提'!$B$106+'前提'!$B$107+'前提'!$B$108+'前提'!$B$109,0)+IF(15='前提'!$B$116,'前提'!$B$114,0)</f>
        <v/>
      </c>
      <c r="Q69" s="5">
        <f>IF(16=1,'前提'!$B$106+'前提'!$B$107+'前提'!$B$108+'前提'!$B$109,0)+IF(16='前提'!$B$116,'前提'!$B$114,0)</f>
        <v/>
      </c>
      <c r="R69" s="5">
        <f>IF(17=1,'前提'!$B$106+'前提'!$B$107+'前提'!$B$108+'前提'!$B$109,0)+IF(17='前提'!$B$116,'前提'!$B$114,0)</f>
        <v/>
      </c>
      <c r="S69" s="5">
        <f>IF(18=1,'前提'!$B$106+'前提'!$B$107+'前提'!$B$108+'前提'!$B$109,0)+IF(18='前提'!$B$116,'前提'!$B$114,0)</f>
        <v/>
      </c>
      <c r="T69" s="5">
        <f>IF(19=1,'前提'!$B$106+'前提'!$B$107+'前提'!$B$108+'前提'!$B$109,0)+IF(19='前提'!$B$116,'前提'!$B$114,0)</f>
        <v/>
      </c>
      <c r="U69" s="5">
        <f>IF(20=1,'前提'!$B$106+'前提'!$B$107+'前提'!$B$108+'前提'!$B$109,0)+IF(20='前提'!$B$116,'前提'!$B$114,0)</f>
        <v/>
      </c>
      <c r="V69" s="5">
        <f>IF(21=1,'前提'!$B$106+'前提'!$B$107+'前提'!$B$108+'前提'!$B$109,0)+IF(21='前提'!$B$116,'前提'!$B$114,0)</f>
        <v/>
      </c>
      <c r="W69" s="5">
        <f>IF(22=1,'前提'!$B$106+'前提'!$B$107+'前提'!$B$108+'前提'!$B$109,0)+IF(22='前提'!$B$116,'前提'!$B$114,0)</f>
        <v/>
      </c>
      <c r="X69" s="5">
        <f>IF(23=1,'前提'!$B$106+'前提'!$B$107+'前提'!$B$108+'前提'!$B$109,0)+IF(23='前提'!$B$116,'前提'!$B$114,0)</f>
        <v/>
      </c>
      <c r="Y69" s="5">
        <f>IF(24=1,'前提'!$B$106+'前提'!$B$107+'前提'!$B$108+'前提'!$B$109,0)+IF(24='前提'!$B$116,'前提'!$B$114,0)</f>
        <v/>
      </c>
      <c r="Z69" s="5">
        <f>IF(25=1,'前提'!$B$106+'前提'!$B$107+'前提'!$B$108+'前提'!$B$109,0)+IF(25='前提'!$B$116,'前提'!$B$114,0)</f>
        <v/>
      </c>
      <c r="AA69" s="5">
        <f>IF(26=1,'前提'!$B$106+'前提'!$B$107+'前提'!$B$108+'前提'!$B$109,0)+IF(26='前提'!$B$116,'前提'!$B$114,0)</f>
        <v/>
      </c>
      <c r="AB69" s="5">
        <f>IF(27=1,'前提'!$B$106+'前提'!$B$107+'前提'!$B$108+'前提'!$B$109,0)+IF(27='前提'!$B$116,'前提'!$B$114,0)</f>
        <v/>
      </c>
      <c r="AC69" s="5">
        <f>IF(28=1,'前提'!$B$106+'前提'!$B$107+'前提'!$B$108+'前提'!$B$109,0)+IF(28='前提'!$B$116,'前提'!$B$114,0)</f>
        <v/>
      </c>
      <c r="AD69" s="5">
        <f>IF(29=1,'前提'!$B$106+'前提'!$B$107+'前提'!$B$108+'前提'!$B$109,0)+IF(29='前提'!$B$116,'前提'!$B$114,0)</f>
        <v/>
      </c>
      <c r="AE69" s="5">
        <f>IF(30=1,'前提'!$B$106+'前提'!$B$107+'前提'!$B$108+'前提'!$B$109,0)+IF(30='前提'!$B$116,'前提'!$B$114,0)</f>
        <v/>
      </c>
      <c r="AF69" s="5">
        <f>IF(31=1,'前提'!$B$106+'前提'!$B$107+'前提'!$B$108+'前提'!$B$109,0)+IF(31='前提'!$B$116,'前提'!$B$114,0)</f>
        <v/>
      </c>
      <c r="AG69" s="5">
        <f>IF(32=1,'前提'!$B$106+'前提'!$B$107+'前提'!$B$108+'前提'!$B$109,0)+IF(32='前提'!$B$116,'前提'!$B$114,0)</f>
        <v/>
      </c>
      <c r="AH69" s="5">
        <f>IF(33=1,'前提'!$B$106+'前提'!$B$107+'前提'!$B$108+'前提'!$B$109,0)+IF(33='前提'!$B$116,'前提'!$B$114,0)</f>
        <v/>
      </c>
      <c r="AI69" s="5">
        <f>IF(34=1,'前提'!$B$106+'前提'!$B$107+'前提'!$B$108+'前提'!$B$109,0)+IF(34='前提'!$B$116,'前提'!$B$114,0)</f>
        <v/>
      </c>
      <c r="AJ69" s="5">
        <f>IF(35=1,'前提'!$B$106+'前提'!$B$107+'前提'!$B$108+'前提'!$B$109,0)+IF(35='前提'!$B$116,'前提'!$B$114,0)</f>
        <v/>
      </c>
      <c r="AK69" s="5">
        <f>IF(36=1,'前提'!$B$106+'前提'!$B$107+'前提'!$B$108+'前提'!$B$109,0)+IF(36='前提'!$B$116,'前提'!$B$114,0)</f>
        <v/>
      </c>
      <c r="AL69" s="5">
        <f>IF(37=1,'前提'!$B$106+'前提'!$B$107+'前提'!$B$108+'前提'!$B$109,0)+IF(37='前提'!$B$116,'前提'!$B$114,0)</f>
        <v/>
      </c>
      <c r="AM69" s="5">
        <f>IF(38=1,'前提'!$B$106+'前提'!$B$107+'前提'!$B$108+'前提'!$B$109,0)+IF(38='前提'!$B$116,'前提'!$B$114,0)</f>
        <v/>
      </c>
      <c r="AN69" s="5">
        <f>IF(39=1,'前提'!$B$106+'前提'!$B$107+'前提'!$B$108+'前提'!$B$109,0)+IF(39='前提'!$B$116,'前提'!$B$114,0)</f>
        <v/>
      </c>
      <c r="AO69" s="5">
        <f>IF(40=1,'前提'!$B$106+'前提'!$B$107+'前提'!$B$108+'前提'!$B$109,0)+IF(40='前提'!$B$116,'前提'!$B$114,0)</f>
        <v/>
      </c>
      <c r="AP69" s="5">
        <f>IF(41=1,'前提'!$B$106+'前提'!$B$107+'前提'!$B$108+'前提'!$B$109,0)+IF(41='前提'!$B$116,'前提'!$B$114,0)</f>
        <v/>
      </c>
      <c r="AQ69" s="5">
        <f>IF(42=1,'前提'!$B$106+'前提'!$B$107+'前提'!$B$108+'前提'!$B$109,0)+IF(42='前提'!$B$116,'前提'!$B$114,0)</f>
        <v/>
      </c>
      <c r="AR69" s="5">
        <f>IF(43=1,'前提'!$B$106+'前提'!$B$107+'前提'!$B$108+'前提'!$B$109,0)+IF(43='前提'!$B$116,'前提'!$B$114,0)</f>
        <v/>
      </c>
      <c r="AS69" s="5">
        <f>IF(44=1,'前提'!$B$106+'前提'!$B$107+'前提'!$B$108+'前提'!$B$109,0)+IF(44='前提'!$B$116,'前提'!$B$114,0)</f>
        <v/>
      </c>
      <c r="AT69" s="5">
        <f>IF(45=1,'前提'!$B$106+'前提'!$B$107+'前提'!$B$108+'前提'!$B$109,0)+IF(45='前提'!$B$116,'前提'!$B$114,0)</f>
        <v/>
      </c>
      <c r="AU69" s="5">
        <f>IF(46=1,'前提'!$B$106+'前提'!$B$107+'前提'!$B$108+'前提'!$B$109,0)+IF(46='前提'!$B$116,'前提'!$B$114,0)</f>
        <v/>
      </c>
      <c r="AV69" s="5">
        <f>IF(47=1,'前提'!$B$106+'前提'!$B$107+'前提'!$B$108+'前提'!$B$109,0)+IF(47='前提'!$B$116,'前提'!$B$114,0)</f>
        <v/>
      </c>
      <c r="AW69" s="5">
        <f>IF(48=1,'前提'!$B$106+'前提'!$B$107+'前提'!$B$108+'前提'!$B$109,0)+IF(48='前提'!$B$116,'前提'!$B$114,0)</f>
        <v/>
      </c>
      <c r="AX69" s="5">
        <f>IF(49=1,'前提'!$B$106+'前提'!$B$107+'前提'!$B$108+'前提'!$B$109,0)+IF(49='前提'!$B$116,'前提'!$B$114,0)</f>
        <v/>
      </c>
      <c r="AY69" s="5">
        <f>IF(50=1,'前提'!$B$106+'前提'!$B$107+'前提'!$B$108+'前提'!$B$109,0)+IF(50='前提'!$B$116,'前提'!$B$114,0)</f>
        <v/>
      </c>
      <c r="AZ69" s="5">
        <f>IF(51=1,'前提'!$B$106+'前提'!$B$107+'前提'!$B$108+'前提'!$B$109,0)+IF(51='前提'!$B$116,'前提'!$B$114,0)</f>
        <v/>
      </c>
      <c r="BA69" s="5">
        <f>IF(52=1,'前提'!$B$106+'前提'!$B$107+'前提'!$B$108+'前提'!$B$109,0)+IF(52='前提'!$B$116,'前提'!$B$114,0)</f>
        <v/>
      </c>
      <c r="BB69" s="5">
        <f>IF(53=1,'前提'!$B$106+'前提'!$B$107+'前提'!$B$108+'前提'!$B$109,0)+IF(53='前提'!$B$116,'前提'!$B$114,0)</f>
        <v/>
      </c>
      <c r="BC69" s="5">
        <f>IF(54=1,'前提'!$B$106+'前提'!$B$107+'前提'!$B$108+'前提'!$B$109,0)+IF(54='前提'!$B$116,'前提'!$B$114,0)</f>
        <v/>
      </c>
      <c r="BD69" s="5">
        <f>IF(55=1,'前提'!$B$106+'前提'!$B$107+'前提'!$B$108+'前提'!$B$109,0)+IF(55='前提'!$B$116,'前提'!$B$114,0)</f>
        <v/>
      </c>
      <c r="BE69" s="5">
        <f>IF(56=1,'前提'!$B$106+'前提'!$B$107+'前提'!$B$108+'前提'!$B$109,0)+IF(56='前提'!$B$116,'前提'!$B$114,0)</f>
        <v/>
      </c>
      <c r="BF69" s="5">
        <f>IF(57=1,'前提'!$B$106+'前提'!$B$107+'前提'!$B$108+'前提'!$B$109,0)+IF(57='前提'!$B$116,'前提'!$B$114,0)</f>
        <v/>
      </c>
      <c r="BG69" s="5">
        <f>IF(58=1,'前提'!$B$106+'前提'!$B$107+'前提'!$B$108+'前提'!$B$109,0)+IF(58='前提'!$B$116,'前提'!$B$114,0)</f>
        <v/>
      </c>
      <c r="BH69" s="5">
        <f>IF(59=1,'前提'!$B$106+'前提'!$B$107+'前提'!$B$108+'前提'!$B$109,0)+IF(59='前提'!$B$116,'前提'!$B$114,0)</f>
        <v/>
      </c>
      <c r="BI69" s="5">
        <f>IF(60=1,'前提'!$B$106+'前提'!$B$107+'前提'!$B$108+'前提'!$B$109,0)+IF(60='前提'!$B$116,'前提'!$B$114,0)</f>
        <v/>
      </c>
    </row>
    <row r="70">
      <c r="A70" t="inlineStr">
        <is>
          <t>公庫利息</t>
        </is>
      </c>
      <c r="B70" s="5">
        <f>IF(1&lt;='前提'!$B$111,'前提'!$B$109*'前提'!$B$110/12,'前提'!$B$109*'前提'!$B$110/12)</f>
        <v/>
      </c>
      <c r="C70" s="5">
        <f>IF(2&lt;='前提'!$B$111,'前提'!$B$109*'前提'!$B$110/12,'前提'!$B$109*'前提'!$B$110/12)</f>
        <v/>
      </c>
      <c r="D70" s="5">
        <f>IF(3&lt;='前提'!$B$111,'前提'!$B$109*'前提'!$B$110/12,'前提'!$B$109*'前提'!$B$110/12)</f>
        <v/>
      </c>
      <c r="E70" s="5">
        <f>IF(4&lt;='前提'!$B$111,'前提'!$B$109*'前提'!$B$110/12,'前提'!$B$109*'前提'!$B$110/12)</f>
        <v/>
      </c>
      <c r="F70" s="5">
        <f>IF(5&lt;='前提'!$B$111,'前提'!$B$109*'前提'!$B$110/12,'前提'!$B$109*'前提'!$B$110/12)</f>
        <v/>
      </c>
      <c r="G70" s="5">
        <f>IF(6&lt;='前提'!$B$111,'前提'!$B$109*'前提'!$B$110/12,'前提'!$B$109*'前提'!$B$110/12)</f>
        <v/>
      </c>
      <c r="H70" s="5">
        <f>IF(7&lt;='前提'!$B$111,'前提'!$B$109*'前提'!$B$110/12,'前提'!$B$109*'前提'!$B$110/12)</f>
        <v/>
      </c>
      <c r="I70" s="5">
        <f>IF(8&lt;='前提'!$B$111,'前提'!$B$109*'前提'!$B$110/12,'前提'!$B$109*'前提'!$B$110/12)</f>
        <v/>
      </c>
      <c r="J70" s="5">
        <f>IF(9&lt;='前提'!$B$111,'前提'!$B$109*'前提'!$B$110/12,'前提'!$B$109*'前提'!$B$110/12)</f>
        <v/>
      </c>
      <c r="K70" s="5">
        <f>IF(10&lt;='前提'!$B$111,'前提'!$B$109*'前提'!$B$110/12,'前提'!$B$109*'前提'!$B$110/12)</f>
        <v/>
      </c>
      <c r="L70" s="5">
        <f>IF(11&lt;='前提'!$B$111,'前提'!$B$109*'前提'!$B$110/12,'前提'!$B$109*'前提'!$B$110/12)</f>
        <v/>
      </c>
      <c r="M70" s="5">
        <f>IF(12&lt;='前提'!$B$111,'前提'!$B$109*'前提'!$B$110/12,'前提'!$B$109*'前提'!$B$110/12)</f>
        <v/>
      </c>
      <c r="N70" s="5">
        <f>IF(13&lt;='前提'!$B$111,'前提'!$B$109*'前提'!$B$110/12,'前提'!$B$109*'前提'!$B$110/12)</f>
        <v/>
      </c>
      <c r="O70" s="5">
        <f>IF(14&lt;='前提'!$B$111,'前提'!$B$109*'前提'!$B$110/12,'前提'!$B$109*'前提'!$B$110/12)</f>
        <v/>
      </c>
      <c r="P70" s="5">
        <f>IF(15&lt;='前提'!$B$111,'前提'!$B$109*'前提'!$B$110/12,'前提'!$B$109*'前提'!$B$110/12)</f>
        <v/>
      </c>
      <c r="Q70" s="5">
        <f>IF(16&lt;='前提'!$B$111,'前提'!$B$109*'前提'!$B$110/12,'前提'!$B$109*'前提'!$B$110/12)</f>
        <v/>
      </c>
      <c r="R70" s="5">
        <f>IF(17&lt;='前提'!$B$111,'前提'!$B$109*'前提'!$B$110/12,'前提'!$B$109*'前提'!$B$110/12)</f>
        <v/>
      </c>
      <c r="S70" s="5">
        <f>IF(18&lt;='前提'!$B$111,'前提'!$B$109*'前提'!$B$110/12,'前提'!$B$109*'前提'!$B$110/12)</f>
        <v/>
      </c>
      <c r="T70" s="5">
        <f>IF(19&lt;='前提'!$B$111,'前提'!$B$109*'前提'!$B$110/12,'前提'!$B$109*'前提'!$B$110/12)</f>
        <v/>
      </c>
      <c r="U70" s="5">
        <f>IF(20&lt;='前提'!$B$111,'前提'!$B$109*'前提'!$B$110/12,'前提'!$B$109*'前提'!$B$110/12)</f>
        <v/>
      </c>
      <c r="V70" s="5">
        <f>IF(21&lt;='前提'!$B$111,'前提'!$B$109*'前提'!$B$110/12,'前提'!$B$109*'前提'!$B$110/12)</f>
        <v/>
      </c>
      <c r="W70" s="5">
        <f>IF(22&lt;='前提'!$B$111,'前提'!$B$109*'前提'!$B$110/12,'前提'!$B$109*'前提'!$B$110/12)</f>
        <v/>
      </c>
      <c r="X70" s="5">
        <f>IF(23&lt;='前提'!$B$111,'前提'!$B$109*'前提'!$B$110/12,'前提'!$B$109*'前提'!$B$110/12)</f>
        <v/>
      </c>
      <c r="Y70" s="5">
        <f>IF(24&lt;='前提'!$B$111,'前提'!$B$109*'前提'!$B$110/12,'前提'!$B$109*'前提'!$B$110/12)</f>
        <v/>
      </c>
      <c r="Z70" s="5">
        <f>IF(25&lt;='前提'!$B$111,'前提'!$B$109*'前提'!$B$110/12,'前提'!$B$109*'前提'!$B$110/12)</f>
        <v/>
      </c>
      <c r="AA70" s="5">
        <f>IF(26&lt;='前提'!$B$111,'前提'!$B$109*'前提'!$B$110/12,'前提'!$B$109*'前提'!$B$110/12)</f>
        <v/>
      </c>
      <c r="AB70" s="5">
        <f>IF(27&lt;='前提'!$B$111,'前提'!$B$109*'前提'!$B$110/12,'前提'!$B$109*'前提'!$B$110/12)</f>
        <v/>
      </c>
      <c r="AC70" s="5">
        <f>IF(28&lt;='前提'!$B$111,'前提'!$B$109*'前提'!$B$110/12,'前提'!$B$109*'前提'!$B$110/12)</f>
        <v/>
      </c>
      <c r="AD70" s="5">
        <f>IF(29&lt;='前提'!$B$111,'前提'!$B$109*'前提'!$B$110/12,'前提'!$B$109*'前提'!$B$110/12)</f>
        <v/>
      </c>
      <c r="AE70" s="5">
        <f>IF(30&lt;='前提'!$B$111,'前提'!$B$109*'前提'!$B$110/12,'前提'!$B$109*'前提'!$B$110/12)</f>
        <v/>
      </c>
      <c r="AF70" s="5">
        <f>IF(31&lt;='前提'!$B$111,'前提'!$B$109*'前提'!$B$110/12,'前提'!$B$109*'前提'!$B$110/12)</f>
        <v/>
      </c>
      <c r="AG70" s="5">
        <f>IF(32&lt;='前提'!$B$111,'前提'!$B$109*'前提'!$B$110/12,'前提'!$B$109*'前提'!$B$110/12)</f>
        <v/>
      </c>
      <c r="AH70" s="5">
        <f>IF(33&lt;='前提'!$B$111,'前提'!$B$109*'前提'!$B$110/12,'前提'!$B$109*'前提'!$B$110/12)</f>
        <v/>
      </c>
      <c r="AI70" s="5">
        <f>IF(34&lt;='前提'!$B$111,'前提'!$B$109*'前提'!$B$110/12,'前提'!$B$109*'前提'!$B$110/12)</f>
        <v/>
      </c>
      <c r="AJ70" s="5">
        <f>IF(35&lt;='前提'!$B$111,'前提'!$B$109*'前提'!$B$110/12,'前提'!$B$109*'前提'!$B$110/12)</f>
        <v/>
      </c>
      <c r="AK70" s="5">
        <f>IF(36&lt;='前提'!$B$111,'前提'!$B$109*'前提'!$B$110/12,'前提'!$B$109*'前提'!$B$110/12)</f>
        <v/>
      </c>
      <c r="AL70" s="5">
        <f>IF(37&lt;='前提'!$B$111,'前提'!$B$109*'前提'!$B$110/12,'前提'!$B$109*'前提'!$B$110/12)</f>
        <v/>
      </c>
      <c r="AM70" s="5">
        <f>IF(38&lt;='前提'!$B$111,'前提'!$B$109*'前提'!$B$110/12,'前提'!$B$109*'前提'!$B$110/12)</f>
        <v/>
      </c>
      <c r="AN70" s="5">
        <f>IF(39&lt;='前提'!$B$111,'前提'!$B$109*'前提'!$B$110/12,'前提'!$B$109*'前提'!$B$110/12)</f>
        <v/>
      </c>
      <c r="AO70" s="5">
        <f>IF(40&lt;='前提'!$B$111,'前提'!$B$109*'前提'!$B$110/12,'前提'!$B$109*'前提'!$B$110/12)</f>
        <v/>
      </c>
      <c r="AP70" s="5">
        <f>IF(41&lt;='前提'!$B$111,'前提'!$B$109*'前提'!$B$110/12,'前提'!$B$109*'前提'!$B$110/12)</f>
        <v/>
      </c>
      <c r="AQ70" s="5">
        <f>IF(42&lt;='前提'!$B$111,'前提'!$B$109*'前提'!$B$110/12,'前提'!$B$109*'前提'!$B$110/12)</f>
        <v/>
      </c>
      <c r="AR70" s="5">
        <f>IF(43&lt;='前提'!$B$111,'前提'!$B$109*'前提'!$B$110/12,'前提'!$B$109*'前提'!$B$110/12)</f>
        <v/>
      </c>
      <c r="AS70" s="5">
        <f>IF(44&lt;='前提'!$B$111,'前提'!$B$109*'前提'!$B$110/12,'前提'!$B$109*'前提'!$B$110/12)</f>
        <v/>
      </c>
      <c r="AT70" s="5">
        <f>IF(45&lt;='前提'!$B$111,'前提'!$B$109*'前提'!$B$110/12,'前提'!$B$109*'前提'!$B$110/12)</f>
        <v/>
      </c>
      <c r="AU70" s="5">
        <f>IF(46&lt;='前提'!$B$111,'前提'!$B$109*'前提'!$B$110/12,'前提'!$B$109*'前提'!$B$110/12)</f>
        <v/>
      </c>
      <c r="AV70" s="5">
        <f>IF(47&lt;='前提'!$B$111,'前提'!$B$109*'前提'!$B$110/12,'前提'!$B$109*'前提'!$B$110/12)</f>
        <v/>
      </c>
      <c r="AW70" s="5">
        <f>IF(48&lt;='前提'!$B$111,'前提'!$B$109*'前提'!$B$110/12,'前提'!$B$109*'前提'!$B$110/12)</f>
        <v/>
      </c>
      <c r="AX70" s="5">
        <f>IF(49&lt;='前提'!$B$111,'前提'!$B$109*'前提'!$B$110/12,'前提'!$B$109*'前提'!$B$110/12)</f>
        <v/>
      </c>
      <c r="AY70" s="5">
        <f>IF(50&lt;='前提'!$B$111,'前提'!$B$109*'前提'!$B$110/12,'前提'!$B$109*'前提'!$B$110/12)</f>
        <v/>
      </c>
      <c r="AZ70" s="5">
        <f>IF(51&lt;='前提'!$B$111,'前提'!$B$109*'前提'!$B$110/12,'前提'!$B$109*'前提'!$B$110/12)</f>
        <v/>
      </c>
      <c r="BA70" s="5">
        <f>IF(52&lt;='前提'!$B$111,'前提'!$B$109*'前提'!$B$110/12,'前提'!$B$109*'前提'!$B$110/12)</f>
        <v/>
      </c>
      <c r="BB70" s="5">
        <f>IF(53&lt;='前提'!$B$111,'前提'!$B$109*'前提'!$B$110/12,'前提'!$B$109*'前提'!$B$110/12)</f>
        <v/>
      </c>
      <c r="BC70" s="5">
        <f>IF(54&lt;='前提'!$B$111,'前提'!$B$109*'前提'!$B$110/12,'前提'!$B$109*'前提'!$B$110/12)</f>
        <v/>
      </c>
      <c r="BD70" s="5">
        <f>IF(55&lt;='前提'!$B$111,'前提'!$B$109*'前提'!$B$110/12,'前提'!$B$109*'前提'!$B$110/12)</f>
        <v/>
      </c>
      <c r="BE70" s="5">
        <f>IF(56&lt;='前提'!$B$111,'前提'!$B$109*'前提'!$B$110/12,'前提'!$B$109*'前提'!$B$110/12)</f>
        <v/>
      </c>
      <c r="BF70" s="5">
        <f>IF(57&lt;='前提'!$B$111,'前提'!$B$109*'前提'!$B$110/12,'前提'!$B$109*'前提'!$B$110/12)</f>
        <v/>
      </c>
      <c r="BG70" s="5">
        <f>IF(58&lt;='前提'!$B$111,'前提'!$B$109*'前提'!$B$110/12,'前提'!$B$109*'前提'!$B$110/12)</f>
        <v/>
      </c>
      <c r="BH70" s="5">
        <f>IF(59&lt;='前提'!$B$111,'前提'!$B$109*'前提'!$B$110/12,'前提'!$B$109*'前提'!$B$110/12)</f>
        <v/>
      </c>
      <c r="BI70" s="5">
        <f>IF(60&lt;='前提'!$B$111,'前提'!$B$109*'前提'!$B$110/12,'前提'!$B$109*'前提'!$B$110/12)</f>
        <v/>
      </c>
    </row>
    <row r="71">
      <c r="A71" t="inlineStr">
        <is>
          <t>キャッシュ残高</t>
        </is>
      </c>
      <c r="B71" s="5">
        <f>B69+B58-B70</f>
        <v/>
      </c>
      <c r="C71" s="5">
        <f>B71+C69+C58-C70</f>
        <v/>
      </c>
      <c r="D71" s="5">
        <f>C71+D69+D58-D70</f>
        <v/>
      </c>
      <c r="E71" s="5">
        <f>D71+E69+E58-E70</f>
        <v/>
      </c>
      <c r="F71" s="5">
        <f>E71+F69+F58-F70</f>
        <v/>
      </c>
      <c r="G71" s="5">
        <f>F71+G69+G58-G70</f>
        <v/>
      </c>
      <c r="H71" s="5">
        <f>G71+H69+H58-H70</f>
        <v/>
      </c>
      <c r="I71" s="5">
        <f>H71+I69+I58-I70</f>
        <v/>
      </c>
      <c r="J71" s="5">
        <f>I71+J69+J58-J70</f>
        <v/>
      </c>
      <c r="K71" s="5">
        <f>J71+K69+K58-K70</f>
        <v/>
      </c>
      <c r="L71" s="5">
        <f>K71+L69+L58-L70</f>
        <v/>
      </c>
      <c r="M71" s="5">
        <f>L71+M69+M58-M70</f>
        <v/>
      </c>
      <c r="N71" s="5">
        <f>M71+N69+N58-N70</f>
        <v/>
      </c>
      <c r="O71" s="5">
        <f>N71+O69+O58-O70</f>
        <v/>
      </c>
      <c r="P71" s="5">
        <f>O71+P69+P58-P70</f>
        <v/>
      </c>
      <c r="Q71" s="5">
        <f>P71+Q69+Q58-Q70</f>
        <v/>
      </c>
      <c r="R71" s="5">
        <f>Q71+R69+R58-R70</f>
        <v/>
      </c>
      <c r="S71" s="5">
        <f>R71+S69+S58-S70</f>
        <v/>
      </c>
      <c r="T71" s="5">
        <f>S71+T69+T58-T70</f>
        <v/>
      </c>
      <c r="U71" s="5">
        <f>T71+U69+U58-U70</f>
        <v/>
      </c>
      <c r="V71" s="5">
        <f>U71+V69+V58-V70</f>
        <v/>
      </c>
      <c r="W71" s="5">
        <f>V71+W69+W58-W70</f>
        <v/>
      </c>
      <c r="X71" s="5">
        <f>W71+X69+X58-X70</f>
        <v/>
      </c>
      <c r="Y71" s="5">
        <f>X71+Y69+Y58-Y70</f>
        <v/>
      </c>
      <c r="Z71" s="5">
        <f>Y71+Z69+Z58-Z70</f>
        <v/>
      </c>
      <c r="AA71" s="5">
        <f>Z71+AA69+AA58-AA70</f>
        <v/>
      </c>
      <c r="AB71" s="5">
        <f>AA71+AB69+AB58-AB70</f>
        <v/>
      </c>
      <c r="AC71" s="5">
        <f>AB71+AC69+AC58-AC70</f>
        <v/>
      </c>
      <c r="AD71" s="5">
        <f>AC71+AD69+AD58-AD70</f>
        <v/>
      </c>
      <c r="AE71" s="5">
        <f>AD71+AE69+AE58-AE70</f>
        <v/>
      </c>
      <c r="AF71" s="5">
        <f>AE71+AF69+AF58-AF70</f>
        <v/>
      </c>
      <c r="AG71" s="5">
        <f>AF71+AG69+AG58-AG70</f>
        <v/>
      </c>
      <c r="AH71" s="5">
        <f>AG71+AH69+AH58-AH70</f>
        <v/>
      </c>
      <c r="AI71" s="5">
        <f>AH71+AI69+AI58-AI70</f>
        <v/>
      </c>
      <c r="AJ71" s="5">
        <f>AI71+AJ69+AJ58-AJ70</f>
        <v/>
      </c>
      <c r="AK71" s="5">
        <f>AJ71+AK69+AK58-AK70</f>
        <v/>
      </c>
      <c r="AL71" s="5">
        <f>AK71+AL69+AL58-AL70</f>
        <v/>
      </c>
      <c r="AM71" s="5">
        <f>AL71+AM69+AM58-AM70</f>
        <v/>
      </c>
      <c r="AN71" s="5">
        <f>AM71+AN69+AN58-AN70</f>
        <v/>
      </c>
      <c r="AO71" s="5">
        <f>AN71+AO69+AO58-AO70</f>
        <v/>
      </c>
      <c r="AP71" s="5">
        <f>AO71+AP69+AP58-AP70</f>
        <v/>
      </c>
      <c r="AQ71" s="5">
        <f>AP71+AQ69+AQ58-AQ70</f>
        <v/>
      </c>
      <c r="AR71" s="5">
        <f>AQ71+AR69+AR58-AR70</f>
        <v/>
      </c>
      <c r="AS71" s="5">
        <f>AR71+AS69+AS58-AS70</f>
        <v/>
      </c>
      <c r="AT71" s="5">
        <f>AS71+AT69+AT58-AT70</f>
        <v/>
      </c>
      <c r="AU71" s="5">
        <f>AT71+AU69+AU58-AU70</f>
        <v/>
      </c>
      <c r="AV71" s="5">
        <f>AU71+AV69+AV58-AV70</f>
        <v/>
      </c>
      <c r="AW71" s="5">
        <f>AV71+AW69+AW58-AW70</f>
        <v/>
      </c>
      <c r="AX71" s="5">
        <f>AW71+AX69+AX58-AX70</f>
        <v/>
      </c>
      <c r="AY71" s="5">
        <f>AX71+AY69+AY58-AY70</f>
        <v/>
      </c>
      <c r="AZ71" s="5">
        <f>AY71+AZ69+AZ58-AZ70</f>
        <v/>
      </c>
      <c r="BA71" s="5">
        <f>AZ71+BA69+BA58-BA70</f>
        <v/>
      </c>
      <c r="BB71" s="5">
        <f>BA71+BB69+BB58-BB70</f>
        <v/>
      </c>
      <c r="BC71" s="5">
        <f>BB71+BC69+BC58-BC70</f>
        <v/>
      </c>
      <c r="BD71" s="5">
        <f>BC71+BD69+BD58-BD70</f>
        <v/>
      </c>
      <c r="BE71" s="5">
        <f>BD71+BE69+BE58-BE70</f>
        <v/>
      </c>
      <c r="BF71" s="5">
        <f>BE71+BF69+BF58-BF70</f>
        <v/>
      </c>
      <c r="BG71" s="5">
        <f>BF71+BG69+BG58-BG70</f>
        <v/>
      </c>
      <c r="BH71" s="5">
        <f>BG71+BH69+BH58-BH70</f>
        <v/>
      </c>
      <c r="BI71" s="5">
        <f>BH71+BI69+BI58-BI70</f>
        <v/>
      </c>
    </row>
    <row r="72">
      <c r="A72" t="inlineStr">
        <is>
          <t>ランウェイ（月）</t>
        </is>
      </c>
      <c r="B72" s="9">
        <f>IF(B71&gt;0,IF(B53&gt;0,B71/B53,999),0)</f>
        <v/>
      </c>
      <c r="C72" s="9">
        <f>IF(C71&gt;0,IF(C53&gt;0,C71/C53,999),0)</f>
        <v/>
      </c>
      <c r="D72" s="9">
        <f>IF(D71&gt;0,IF(D53&gt;0,D71/D53,999),0)</f>
        <v/>
      </c>
      <c r="E72" s="9">
        <f>IF(E71&gt;0,IF(E53&gt;0,E71/E53,999),0)</f>
        <v/>
      </c>
      <c r="F72" s="9">
        <f>IF(F71&gt;0,IF(F53&gt;0,F71/F53,999),0)</f>
        <v/>
      </c>
      <c r="G72" s="9">
        <f>IF(G71&gt;0,IF(G53&gt;0,G71/G53,999),0)</f>
        <v/>
      </c>
      <c r="H72" s="9">
        <f>IF(H71&gt;0,IF(H53&gt;0,H71/H53,999),0)</f>
        <v/>
      </c>
      <c r="I72" s="9">
        <f>IF(I71&gt;0,IF(I53&gt;0,I71/I53,999),0)</f>
        <v/>
      </c>
      <c r="J72" s="9">
        <f>IF(J71&gt;0,IF(J53&gt;0,J71/J53,999),0)</f>
        <v/>
      </c>
      <c r="K72" s="9">
        <f>IF(K71&gt;0,IF(K53&gt;0,K71/K53,999),0)</f>
        <v/>
      </c>
      <c r="L72" s="9">
        <f>IF(L71&gt;0,IF(L53&gt;0,L71/L53,999),0)</f>
        <v/>
      </c>
      <c r="M72" s="9">
        <f>IF(M71&gt;0,IF(M53&gt;0,M71/M53,999),0)</f>
        <v/>
      </c>
      <c r="N72" s="9">
        <f>IF(N71&gt;0,IF(N53&gt;0,N71/N53,999),0)</f>
        <v/>
      </c>
      <c r="O72" s="9">
        <f>IF(O71&gt;0,IF(O53&gt;0,O71/O53,999),0)</f>
        <v/>
      </c>
      <c r="P72" s="9">
        <f>IF(P71&gt;0,IF(P53&gt;0,P71/P53,999),0)</f>
        <v/>
      </c>
      <c r="Q72" s="9">
        <f>IF(Q71&gt;0,IF(Q53&gt;0,Q71/Q53,999),0)</f>
        <v/>
      </c>
      <c r="R72" s="9">
        <f>IF(R71&gt;0,IF(R53&gt;0,R71/R53,999),0)</f>
        <v/>
      </c>
      <c r="S72" s="9">
        <f>IF(S71&gt;0,IF(S53&gt;0,S71/S53,999),0)</f>
        <v/>
      </c>
      <c r="T72" s="9">
        <f>IF(T71&gt;0,IF(T53&gt;0,T71/T53,999),0)</f>
        <v/>
      </c>
      <c r="U72" s="9">
        <f>IF(U71&gt;0,IF(U53&gt;0,U71/U53,999),0)</f>
        <v/>
      </c>
      <c r="V72" s="9">
        <f>IF(V71&gt;0,IF(V53&gt;0,V71/V53,999),0)</f>
        <v/>
      </c>
      <c r="W72" s="9">
        <f>IF(W71&gt;0,IF(W53&gt;0,W71/W53,999),0)</f>
        <v/>
      </c>
      <c r="X72" s="9">
        <f>IF(X71&gt;0,IF(X53&gt;0,X71/X53,999),0)</f>
        <v/>
      </c>
      <c r="Y72" s="9">
        <f>IF(Y71&gt;0,IF(Y53&gt;0,Y71/Y53,999),0)</f>
        <v/>
      </c>
      <c r="Z72" s="9">
        <f>IF(Z71&gt;0,IF(Z53&gt;0,Z71/Z53,999),0)</f>
        <v/>
      </c>
      <c r="AA72" s="9">
        <f>IF(AA71&gt;0,IF(AA53&gt;0,AA71/AA53,999),0)</f>
        <v/>
      </c>
      <c r="AB72" s="9">
        <f>IF(AB71&gt;0,IF(AB53&gt;0,AB71/AB53,999),0)</f>
        <v/>
      </c>
      <c r="AC72" s="9">
        <f>IF(AC71&gt;0,IF(AC53&gt;0,AC71/AC53,999),0)</f>
        <v/>
      </c>
      <c r="AD72" s="9">
        <f>IF(AD71&gt;0,IF(AD53&gt;0,AD71/AD53,999),0)</f>
        <v/>
      </c>
      <c r="AE72" s="9">
        <f>IF(AE71&gt;0,IF(AE53&gt;0,AE71/AE53,999),0)</f>
        <v/>
      </c>
      <c r="AF72" s="9">
        <f>IF(AF71&gt;0,IF(AF53&gt;0,AF71/AF53,999),0)</f>
        <v/>
      </c>
      <c r="AG72" s="9">
        <f>IF(AG71&gt;0,IF(AG53&gt;0,AG71/AG53,999),0)</f>
        <v/>
      </c>
      <c r="AH72" s="9">
        <f>IF(AH71&gt;0,IF(AH53&gt;0,AH71/AH53,999),0)</f>
        <v/>
      </c>
      <c r="AI72" s="9">
        <f>IF(AI71&gt;0,IF(AI53&gt;0,AI71/AI53,999),0)</f>
        <v/>
      </c>
      <c r="AJ72" s="9">
        <f>IF(AJ71&gt;0,IF(AJ53&gt;0,AJ71/AJ53,999),0)</f>
        <v/>
      </c>
      <c r="AK72" s="9">
        <f>IF(AK71&gt;0,IF(AK53&gt;0,AK71/AK53,999),0)</f>
        <v/>
      </c>
      <c r="AL72" s="9">
        <f>IF(AL71&gt;0,IF(AL53&gt;0,AL71/AL53,999),0)</f>
        <v/>
      </c>
      <c r="AM72" s="9">
        <f>IF(AM71&gt;0,IF(AM53&gt;0,AM71/AM53,999),0)</f>
        <v/>
      </c>
      <c r="AN72" s="9">
        <f>IF(AN71&gt;0,IF(AN53&gt;0,AN71/AN53,999),0)</f>
        <v/>
      </c>
      <c r="AO72" s="9">
        <f>IF(AO71&gt;0,IF(AO53&gt;0,AO71/AO53,999),0)</f>
        <v/>
      </c>
      <c r="AP72" s="9">
        <f>IF(AP71&gt;0,IF(AP53&gt;0,AP71/AP53,999),0)</f>
        <v/>
      </c>
      <c r="AQ72" s="9">
        <f>IF(AQ71&gt;0,IF(AQ53&gt;0,AQ71/AQ53,999),0)</f>
        <v/>
      </c>
      <c r="AR72" s="9">
        <f>IF(AR71&gt;0,IF(AR53&gt;0,AR71/AR53,999),0)</f>
        <v/>
      </c>
      <c r="AS72" s="9">
        <f>IF(AS71&gt;0,IF(AS53&gt;0,AS71/AS53,999),0)</f>
        <v/>
      </c>
      <c r="AT72" s="9">
        <f>IF(AT71&gt;0,IF(AT53&gt;0,AT71/AT53,999),0)</f>
        <v/>
      </c>
      <c r="AU72" s="9">
        <f>IF(AU71&gt;0,IF(AU53&gt;0,AU71/AU53,999),0)</f>
        <v/>
      </c>
      <c r="AV72" s="9">
        <f>IF(AV71&gt;0,IF(AV53&gt;0,AV71/AV53,999),0)</f>
        <v/>
      </c>
      <c r="AW72" s="9">
        <f>IF(AW71&gt;0,IF(AW53&gt;0,AW71/AW53,999),0)</f>
        <v/>
      </c>
      <c r="AX72" s="9">
        <f>IF(AX71&gt;0,IF(AX53&gt;0,AX71/AX53,999),0)</f>
        <v/>
      </c>
      <c r="AY72" s="9">
        <f>IF(AY71&gt;0,IF(AY53&gt;0,AY71/AY53,999),0)</f>
        <v/>
      </c>
      <c r="AZ72" s="9">
        <f>IF(AZ71&gt;0,IF(AZ53&gt;0,AZ71/AZ53,999),0)</f>
        <v/>
      </c>
      <c r="BA72" s="9">
        <f>IF(BA71&gt;0,IF(BA53&gt;0,BA71/BA53,999),0)</f>
        <v/>
      </c>
      <c r="BB72" s="9">
        <f>IF(BB71&gt;0,IF(BB53&gt;0,BB71/BB53,999),0)</f>
        <v/>
      </c>
      <c r="BC72" s="9">
        <f>IF(BC71&gt;0,IF(BC53&gt;0,BC71/BC53,999),0)</f>
        <v/>
      </c>
      <c r="BD72" s="9">
        <f>IF(BD71&gt;0,IF(BD53&gt;0,BD71/BD53,999),0)</f>
        <v/>
      </c>
      <c r="BE72" s="9">
        <f>IF(BE71&gt;0,IF(BE53&gt;0,BE71/BE53,999),0)</f>
        <v/>
      </c>
      <c r="BF72" s="9">
        <f>IF(BF71&gt;0,IF(BF53&gt;0,BF71/BF53,999),0)</f>
        <v/>
      </c>
      <c r="BG72" s="9">
        <f>IF(BG71&gt;0,IF(BG53&gt;0,BG71/BG53,999),0)</f>
        <v/>
      </c>
      <c r="BH72" s="9">
        <f>IF(BH71&gt;0,IF(BH53&gt;0,BH71/BH53,999),0)</f>
        <v/>
      </c>
      <c r="BI72" s="9">
        <f>IF(BI71&gt;0,IF(BI53&gt;0,BI71/BI53,999),0)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年次事業計画（5年）</t>
        </is>
      </c>
    </row>
    <row r="3">
      <c r="A3" t="inlineStr">
        <is>
          <t>年度</t>
        </is>
      </c>
      <c r="B3" s="19" t="inlineStr">
        <is>
          <t>Y1 (M1-12)</t>
        </is>
      </c>
      <c r="C3" s="19" t="inlineStr">
        <is>
          <t>Y2 (M13-24)</t>
        </is>
      </c>
      <c r="D3" s="19" t="inlineStr">
        <is>
          <t>Y3 (M25-36)</t>
        </is>
      </c>
      <c r="E3" s="19" t="inlineStr">
        <is>
          <t>Y4 (M37-48)</t>
        </is>
      </c>
      <c r="F3" s="19" t="inlineStr">
        <is>
          <t>Y5 (M49-60)</t>
        </is>
      </c>
    </row>
    <row r="5">
      <c r="A5" s="2" t="inlineStr">
        <is>
          <t>【顧客数（期末）】</t>
        </is>
      </c>
    </row>
    <row r="6">
      <c r="A6" t="inlineStr">
        <is>
          <t>SuguDesk期末</t>
        </is>
      </c>
      <c r="B6" s="8">
        <f>'月次事業計画'!M10</f>
        <v/>
      </c>
      <c r="C6" s="8">
        <f>'月次事業計画'!Y10</f>
        <v/>
      </c>
      <c r="D6" s="8">
        <f>'月次事業計画'!AK10</f>
        <v/>
      </c>
      <c r="E6" s="8">
        <f>'月次事業計画'!AW10</f>
        <v/>
      </c>
      <c r="F6" s="8">
        <f>'月次事業計画'!BI10</f>
        <v/>
      </c>
    </row>
    <row r="7">
      <c r="A7" t="inlineStr">
        <is>
          <t>BPO期末</t>
        </is>
      </c>
      <c r="B7" s="8">
        <f>'月次事業計画'!M14</f>
        <v/>
      </c>
      <c r="C7" s="8">
        <f>'月次事業計画'!Y14</f>
        <v/>
      </c>
      <c r="D7" s="8">
        <f>'月次事業計画'!AK14</f>
        <v/>
      </c>
      <c r="E7" s="8">
        <f>'月次事業計画'!AW14</f>
        <v/>
      </c>
      <c r="F7" s="8">
        <f>'月次事業計画'!BI14</f>
        <v/>
      </c>
    </row>
    <row r="8">
      <c r="A8" t="inlineStr">
        <is>
          <t>総顧客数</t>
        </is>
      </c>
      <c r="B8" s="8">
        <f>'月次事業計画'!M63</f>
        <v/>
      </c>
      <c r="C8" s="8">
        <f>'月次事業計画'!Y63</f>
        <v/>
      </c>
      <c r="D8" s="8">
        <f>'月次事業計画'!AK63</f>
        <v/>
      </c>
      <c r="E8" s="8">
        <f>'月次事業計画'!AW63</f>
        <v/>
      </c>
      <c r="F8" s="8">
        <f>'月次事業計画'!BI63</f>
        <v/>
      </c>
    </row>
    <row r="10">
      <c r="A10" s="2" t="inlineStr">
        <is>
          <t>【売上】</t>
        </is>
      </c>
    </row>
    <row r="11">
      <c r="A11" t="inlineStr">
        <is>
          <t>SuguDesk月額</t>
        </is>
      </c>
      <c r="B11" s="5">
        <f>SUM('月次事業計画'!B17:M17)</f>
        <v/>
      </c>
      <c r="C11" s="5">
        <f>SUM('月次事業計画'!N17:Y17)</f>
        <v/>
      </c>
      <c r="D11" s="5">
        <f>SUM('月次事業計画'!Z17:AK17)</f>
        <v/>
      </c>
      <c r="E11" s="5">
        <f>SUM('月次事業計画'!AL17:AW17)</f>
        <v/>
      </c>
      <c r="F11" s="5">
        <f>SUM('月次事業計画'!AX17:BI17)</f>
        <v/>
      </c>
    </row>
    <row r="12">
      <c r="A12" t="inlineStr">
        <is>
          <t>BPO事務長代行</t>
        </is>
      </c>
      <c r="B12" s="5">
        <f>SUM('月次事業計画'!B18:M18)</f>
        <v/>
      </c>
      <c r="C12" s="5">
        <f>SUM('月次事業計画'!N18:Y18)</f>
        <v/>
      </c>
      <c r="D12" s="5">
        <f>SUM('月次事業計画'!Z18:AK18)</f>
        <v/>
      </c>
      <c r="E12" s="5">
        <f>SUM('月次事業計画'!AL18:AW18)</f>
        <v/>
      </c>
      <c r="F12" s="5">
        <f>SUM('月次事業計画'!AX18:BI18)</f>
        <v/>
      </c>
    </row>
    <row r="13">
      <c r="A13" t="inlineStr">
        <is>
          <t>BPO採用/集患</t>
        </is>
      </c>
      <c r="B13" s="5">
        <f>SUM('月次事業計画'!B19:M19)</f>
        <v/>
      </c>
      <c r="C13" s="5">
        <f>SUM('月次事業計画'!N19:Y19)</f>
        <v/>
      </c>
      <c r="D13" s="5">
        <f>SUM('月次事業計画'!Z19:AK19)</f>
        <v/>
      </c>
      <c r="E13" s="5">
        <f>SUM('月次事業計画'!AL19:AW19)</f>
        <v/>
      </c>
      <c r="F13" s="5">
        <f>SUM('月次事業計画'!AX19:BI19)</f>
        <v/>
      </c>
    </row>
    <row r="14">
      <c r="A14" t="inlineStr">
        <is>
          <t>導入費用</t>
        </is>
      </c>
      <c r="B14" s="5">
        <f>SUM('月次事業計画'!B20:M20)</f>
        <v/>
      </c>
      <c r="C14" s="5">
        <f>SUM('月次事業計画'!N20:Y20)</f>
        <v/>
      </c>
      <c r="D14" s="5">
        <f>SUM('月次事業計画'!Z20:AK20)</f>
        <v/>
      </c>
      <c r="E14" s="5">
        <f>SUM('月次事業計画'!AL20:AW20)</f>
        <v/>
      </c>
      <c r="F14" s="5">
        <f>SUM('月次事業計画'!AX20:BI20)</f>
        <v/>
      </c>
    </row>
    <row r="15">
      <c r="A15" t="inlineStr">
        <is>
          <t>MRR合計（年間）</t>
        </is>
      </c>
      <c r="B15" s="5">
        <f>SUM('月次事業計画'!B21:M21)</f>
        <v/>
      </c>
      <c r="C15" s="5">
        <f>SUM('月次事業計画'!N21:Y21)</f>
        <v/>
      </c>
      <c r="D15" s="5">
        <f>SUM('月次事業計画'!Z21:AK21)</f>
        <v/>
      </c>
      <c r="E15" s="5">
        <f>SUM('月次事業計画'!AL21:AW21)</f>
        <v/>
      </c>
      <c r="F15" s="5">
        <f>SUM('月次事業計画'!AX21:BI21)</f>
        <v/>
      </c>
    </row>
    <row r="16">
      <c r="A16" t="inlineStr">
        <is>
          <t>売上合計</t>
        </is>
      </c>
      <c r="B16" s="5">
        <f>SUM('月次事業計画'!B22:M22)</f>
        <v/>
      </c>
      <c r="C16" s="5">
        <f>SUM('月次事業計画'!N22:Y22)</f>
        <v/>
      </c>
      <c r="D16" s="5">
        <f>SUM('月次事業計画'!Z22:AK22)</f>
        <v/>
      </c>
      <c r="E16" s="5">
        <f>SUM('月次事業計画'!AL22:AW22)</f>
        <v/>
      </c>
      <c r="F16" s="5">
        <f>SUM('月次事業計画'!AX22:BI22)</f>
        <v/>
      </c>
    </row>
    <row r="18">
      <c r="A18" s="2" t="inlineStr">
        <is>
          <t>【コスト】</t>
        </is>
      </c>
    </row>
    <row r="19">
      <c r="A19" t="inlineStr">
        <is>
          <t>直接原価</t>
        </is>
      </c>
      <c r="B19" s="5">
        <f>SUM('月次事業計画'!B25:M29)</f>
        <v/>
      </c>
      <c r="C19" s="5">
        <f>SUM('月次事業計画'!N25:Y29)</f>
        <v/>
      </c>
      <c r="D19" s="5">
        <f>SUM('月次事業計画'!Z25:AK29)</f>
        <v/>
      </c>
      <c r="E19" s="5">
        <f>SUM('月次事業計画'!AL25:AW29)</f>
        <v/>
      </c>
      <c r="F19" s="5">
        <f>SUM('月次事業計画'!AX25:BI29)</f>
        <v/>
      </c>
    </row>
    <row r="20">
      <c r="A20" t="inlineStr">
        <is>
          <t>人件費</t>
        </is>
      </c>
      <c r="B20" s="5">
        <f>SUM('月次事業計画'!B40:M40)</f>
        <v/>
      </c>
      <c r="C20" s="5">
        <f>SUM('月次事業計画'!N40:Y40)</f>
        <v/>
      </c>
      <c r="D20" s="5">
        <f>SUM('月次事業計画'!Z40:AK40)</f>
        <v/>
      </c>
      <c r="E20" s="5">
        <f>SUM('月次事業計画'!AL40:AW40)</f>
        <v/>
      </c>
      <c r="F20" s="5">
        <f>SUM('月次事業計画'!AX40:BI40)</f>
        <v/>
      </c>
    </row>
    <row r="21">
      <c r="A21" t="inlineStr">
        <is>
          <t>固定費・販管費</t>
        </is>
      </c>
      <c r="B21" s="5">
        <f>SUM('月次事業計画'!B51:M51)</f>
        <v/>
      </c>
      <c r="C21" s="5">
        <f>SUM('月次事業計画'!N51:Y51)</f>
        <v/>
      </c>
      <c r="D21" s="5">
        <f>SUM('月次事業計画'!Z51:AK51)</f>
        <v/>
      </c>
      <c r="E21" s="5">
        <f>SUM('月次事業計画'!AL51:AW51)</f>
        <v/>
      </c>
      <c r="F21" s="5">
        <f>SUM('月次事業計画'!AX51:BI51)</f>
        <v/>
      </c>
    </row>
    <row r="22">
      <c r="A22" t="inlineStr">
        <is>
          <t>コスト合計</t>
        </is>
      </c>
      <c r="B22" s="5">
        <f>SUM('月次事業計画'!B53:M53)</f>
        <v/>
      </c>
      <c r="C22" s="5">
        <f>SUM('月次事業計画'!N53:Y53)</f>
        <v/>
      </c>
      <c r="D22" s="5">
        <f>SUM('月次事業計画'!Z53:AK53)</f>
        <v/>
      </c>
      <c r="E22" s="5">
        <f>SUM('月次事業計画'!AL53:AW53)</f>
        <v/>
      </c>
      <c r="F22" s="5">
        <f>SUM('月次事業計画'!AX53:BI53)</f>
        <v/>
      </c>
    </row>
    <row r="24">
      <c r="A24" s="2" t="inlineStr">
        <is>
          <t>【損益】</t>
        </is>
      </c>
    </row>
    <row r="25">
      <c r="A25" t="inlineStr">
        <is>
          <t>粗利</t>
        </is>
      </c>
      <c r="B25" s="5">
        <f>SUM('月次事業計画'!B56:M56)</f>
        <v/>
      </c>
      <c r="C25" s="5">
        <f>SUM('月次事業計画'!N56:Y56)</f>
        <v/>
      </c>
      <c r="D25" s="5">
        <f>SUM('月次事業計画'!Z56:AK56)</f>
        <v/>
      </c>
      <c r="E25" s="5">
        <f>SUM('月次事業計画'!AL56:AW56)</f>
        <v/>
      </c>
      <c r="F25" s="5">
        <f>SUM('月次事業計画'!AX56:BI56)</f>
        <v/>
      </c>
    </row>
    <row r="26">
      <c r="A26" t="inlineStr">
        <is>
          <t>粗利率</t>
        </is>
      </c>
      <c r="B26" s="6">
        <f>IF(B16&lt;&gt;0,B25/B16,0)</f>
        <v/>
      </c>
      <c r="C26" s="6">
        <f>IF(C16&lt;&gt;0,C25/C16,0)</f>
        <v/>
      </c>
      <c r="D26" s="6">
        <f>IF(D16&lt;&gt;0,D25/D16,0)</f>
        <v/>
      </c>
      <c r="E26" s="6">
        <f>IF(E16&lt;&gt;0,E25/E16,0)</f>
        <v/>
      </c>
      <c r="F26" s="6">
        <f>IF(F16&lt;&gt;0,F25/F16,0)</f>
        <v/>
      </c>
    </row>
    <row r="27">
      <c r="A27" t="inlineStr">
        <is>
          <t>営業利益</t>
        </is>
      </c>
      <c r="B27" s="5">
        <f>B16-B22</f>
        <v/>
      </c>
      <c r="C27" s="5">
        <f>C16-C22</f>
        <v/>
      </c>
      <c r="D27" s="5">
        <f>D16-D22</f>
        <v/>
      </c>
      <c r="E27" s="5">
        <f>E16-E22</f>
        <v/>
      </c>
      <c r="F27" s="5">
        <f>F16-F22</f>
        <v/>
      </c>
    </row>
    <row r="28">
      <c r="A28" t="inlineStr">
        <is>
          <t>営業利益率</t>
        </is>
      </c>
      <c r="B28" s="6">
        <f>IF(B16&lt;&gt;0,B27/B16,0)</f>
        <v/>
      </c>
      <c r="C28" s="6">
        <f>IF(C16&lt;&gt;0,C27/C16,0)</f>
        <v/>
      </c>
      <c r="D28" s="6">
        <f>IF(D16&lt;&gt;0,D27/D16,0)</f>
        <v/>
      </c>
      <c r="E28" s="6">
        <f>IF(E16&lt;&gt;0,E27/E16,0)</f>
        <v/>
      </c>
      <c r="F28" s="6">
        <f>IF(F16&lt;&gt;0,F27/F16,0)</f>
        <v/>
      </c>
    </row>
    <row r="29">
      <c r="A29" t="inlineStr">
        <is>
          <t>累積営業利益（期末）</t>
        </is>
      </c>
      <c r="B29" s="5">
        <f>'月次事業計画'!M60</f>
        <v/>
      </c>
      <c r="C29" s="5">
        <f>'月次事業計画'!Y60</f>
        <v/>
      </c>
      <c r="D29" s="5">
        <f>'月次事業計画'!AK60</f>
        <v/>
      </c>
      <c r="E29" s="5">
        <f>'月次事業計画'!AW60</f>
        <v/>
      </c>
      <c r="F29" s="5">
        <f>'月次事業計画'!BI60</f>
        <v/>
      </c>
    </row>
    <row r="31">
      <c r="A31" s="20" t="inlineStr">
        <is>
          <t>【KPI（期末）】</t>
        </is>
      </c>
    </row>
    <row r="32">
      <c r="A32" t="inlineStr">
        <is>
          <t>期末MRR</t>
        </is>
      </c>
      <c r="B32" s="18">
        <f>'月次事業計画'!M21</f>
        <v/>
      </c>
      <c r="C32" s="18">
        <f>'月次事業計画'!Y21</f>
        <v/>
      </c>
      <c r="D32" s="18">
        <f>'月次事業計画'!AK21</f>
        <v/>
      </c>
      <c r="E32" s="18">
        <f>'月次事業計画'!AW21</f>
        <v/>
      </c>
      <c r="F32" s="18">
        <f>'月次事業計画'!BI21</f>
        <v/>
      </c>
    </row>
    <row r="33">
      <c r="A33" t="inlineStr">
        <is>
          <t>ARR</t>
        </is>
      </c>
      <c r="B33" s="18">
        <f>'月次事業計画'!M66</f>
        <v/>
      </c>
      <c r="C33" s="18">
        <f>'月次事業計画'!Y66</f>
        <v/>
      </c>
      <c r="D33" s="18">
        <f>'月次事業計画'!AK66</f>
        <v/>
      </c>
      <c r="E33" s="18">
        <f>'月次事業計画'!AW66</f>
        <v/>
      </c>
      <c r="F33" s="18">
        <f>'月次事業計画'!BI66</f>
        <v/>
      </c>
    </row>
    <row r="34">
      <c r="A34" t="inlineStr">
        <is>
          <t>平均ARPA</t>
        </is>
      </c>
      <c r="B34" s="18">
        <f>'月次事業計画'!M64</f>
        <v/>
      </c>
      <c r="C34" s="18">
        <f>'月次事業計画'!Y64</f>
        <v/>
      </c>
      <c r="D34" s="18">
        <f>'月次事業計画'!AK64</f>
        <v/>
      </c>
      <c r="E34" s="18">
        <f>'月次事業計画'!AW64</f>
        <v/>
      </c>
      <c r="F34" s="18">
        <f>'月次事業計画'!BI64</f>
        <v/>
      </c>
    </row>
    <row r="35">
      <c r="A35" t="inlineStr">
        <is>
          <t>期末キャッシュ</t>
        </is>
      </c>
      <c r="B35" s="18">
        <f>'月次事業計画'!M71</f>
        <v/>
      </c>
      <c r="C35" s="18">
        <f>'月次事業計画'!Y71</f>
        <v/>
      </c>
      <c r="D35" s="18">
        <f>'月次事業計画'!AK71</f>
        <v/>
      </c>
      <c r="E35" s="18">
        <f>'月次事業計画'!AW71</f>
        <v/>
      </c>
      <c r="F35" s="18">
        <f>'月次事業計画'!BI71</f>
        <v/>
      </c>
    </row>
    <row r="36">
      <c r="A36" t="inlineStr">
        <is>
          <t>ランウェイ（月）</t>
        </is>
      </c>
      <c r="B36" s="21">
        <f>'月次事業計画'!M72</f>
        <v/>
      </c>
      <c r="C36" s="21">
        <f>'月次事業計画'!Y72</f>
        <v/>
      </c>
      <c r="D36" s="21">
        <f>'月次事業計画'!AK72</f>
        <v/>
      </c>
      <c r="E36" s="21">
        <f>'月次事業計画'!AW72</f>
        <v/>
      </c>
      <c r="F36" s="21">
        <f>'月次事業計画'!BI72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資本政策表（Misuzu条件反映）</t>
        </is>
      </c>
    </row>
    <row r="3">
      <c r="A3" s="2" t="inlineStr">
        <is>
          <t>【ラウンド別】</t>
        </is>
      </c>
      <c r="B3" s="19" t="inlineStr">
        <is>
          <t>設立</t>
        </is>
      </c>
      <c r="C3" s="19" t="inlineStr">
        <is>
          <t>シード</t>
        </is>
      </c>
      <c r="D3" s="19" t="inlineStr">
        <is>
          <t>Series A</t>
        </is>
      </c>
    </row>
    <row r="4">
      <c r="A4" t="inlineStr">
        <is>
          <t>プレバリュー</t>
        </is>
      </c>
      <c r="C4" s="5">
        <f>'前提'!B105</f>
        <v/>
      </c>
      <c r="D4" s="5">
        <f>'前提'!B113</f>
        <v/>
      </c>
    </row>
    <row r="5">
      <c r="A5" t="inlineStr">
        <is>
          <t>エクイティ調達額</t>
        </is>
      </c>
      <c r="B5" s="5">
        <f>'前提'!B104</f>
        <v/>
      </c>
      <c r="C5" s="5">
        <f>'前提'!B106+'前提'!B107+'前提'!B108</f>
        <v/>
      </c>
      <c r="D5" s="5">
        <f>'前提'!B114</f>
        <v/>
      </c>
    </row>
    <row r="6">
      <c r="A6" t="inlineStr">
        <is>
          <t>デット（公庫）</t>
        </is>
      </c>
      <c r="C6" s="5">
        <f>'前提'!B109</f>
        <v/>
      </c>
    </row>
    <row r="7">
      <c r="A7" t="inlineStr">
        <is>
          <t>ポストバリュー</t>
        </is>
      </c>
      <c r="C7" s="5">
        <f>C4+C5</f>
        <v/>
      </c>
      <c r="D7" s="5">
        <f>D4+D5</f>
        <v/>
      </c>
    </row>
    <row r="8">
      <c r="A8" t="inlineStr">
        <is>
          <t>希薄化</t>
        </is>
      </c>
      <c r="C8" s="6">
        <f>C5/C7</f>
        <v/>
      </c>
      <c r="D8" s="6">
        <f>D5/D7</f>
        <v/>
      </c>
    </row>
    <row r="10">
      <c r="A10" s="2" t="inlineStr">
        <is>
          <t>【株式数】</t>
        </is>
      </c>
    </row>
    <row r="11">
      <c r="A11" t="inlineStr">
        <is>
          <t>シード株価（円/株）</t>
        </is>
      </c>
      <c r="C11" s="7">
        <f>'前提'!B105/'前提'!B103</f>
        <v/>
      </c>
    </row>
    <row r="12">
      <c r="A12" t="inlineStr">
        <is>
          <t>Oikaze 新規株数</t>
        </is>
      </c>
      <c r="C12" s="8">
        <f>ROUNDDOWN('前提'!B106/C11,0)</f>
        <v/>
      </c>
    </row>
    <row r="13">
      <c r="A13" t="inlineStr">
        <is>
          <t>佐藤 新規株数</t>
        </is>
      </c>
      <c r="C13" s="8">
        <f>ROUNDDOWN('前提'!B107/C11,0)</f>
        <v/>
      </c>
    </row>
    <row r="14">
      <c r="A14" t="inlineStr">
        <is>
          <t>洋介 新規株数</t>
        </is>
      </c>
      <c r="C14" s="8">
        <f>ROUNDDOWN('前提'!B108/C11,0)</f>
        <v/>
      </c>
    </row>
    <row r="15">
      <c r="A15" t="inlineStr">
        <is>
          <t>シード後 発行済株数</t>
        </is>
      </c>
      <c r="C15" s="8">
        <f>'前提'!B103+C12+C13+C14</f>
        <v/>
      </c>
    </row>
    <row r="16">
      <c r="A16" t="inlineStr">
        <is>
          <t>Series A 株価</t>
        </is>
      </c>
      <c r="D16" s="7">
        <f>'前提'!B113/C15</f>
        <v/>
      </c>
    </row>
    <row r="17">
      <c r="A17" t="inlineStr">
        <is>
          <t>Series A 新規株数</t>
        </is>
      </c>
      <c r="D17" s="8">
        <f>ROUNDDOWN('前提'!B114/D16,0)</f>
        <v/>
      </c>
    </row>
    <row r="18">
      <c r="A18" t="inlineStr">
        <is>
          <t>SOPプール</t>
        </is>
      </c>
      <c r="D18" s="8">
        <f>ROUNDDOWN((C15+D17)*'前提'!B115/(1-'前提'!B115),0)</f>
        <v/>
      </c>
    </row>
    <row r="19">
      <c r="A19" t="inlineStr">
        <is>
          <t>Series A後 発行済株数</t>
        </is>
      </c>
      <c r="D19" s="8">
        <f>C15+D17+D18</f>
        <v/>
      </c>
    </row>
    <row r="21">
      <c r="A21" s="2" t="inlineStr">
        <is>
          <t>【Cap Table 持分比率】</t>
        </is>
      </c>
      <c r="B21" s="19" t="inlineStr">
        <is>
          <t>設立</t>
        </is>
      </c>
      <c r="C21" s="19" t="inlineStr">
        <is>
          <t>シード後</t>
        </is>
      </c>
      <c r="D21" s="19" t="inlineStr">
        <is>
          <t>Series A後</t>
        </is>
      </c>
    </row>
    <row r="22">
      <c r="A22" t="inlineStr">
        <is>
          <t>CEO（根来杏奈）</t>
        </is>
      </c>
      <c r="B22" s="6">
        <f>'前提'!B103/'前提'!B103</f>
        <v/>
      </c>
      <c r="C22" s="6">
        <f>'前提'!B103/C15</f>
        <v/>
      </c>
      <c r="D22" s="6">
        <f>'前提'!B103/D19</f>
        <v/>
      </c>
    </row>
    <row r="23">
      <c r="A23" t="inlineStr">
        <is>
          <t>Oikaze（みなし優先株）</t>
        </is>
      </c>
      <c r="B23" s="6" t="n"/>
      <c r="C23" s="6">
        <f>C12/C15</f>
        <v/>
      </c>
      <c r="D23" s="6">
        <f>C12/D19</f>
        <v/>
      </c>
    </row>
    <row r="24">
      <c r="A24" t="inlineStr">
        <is>
          <t>佐藤さん</t>
        </is>
      </c>
      <c r="B24" s="6" t="n"/>
      <c r="C24" s="6">
        <f>C13/C15</f>
        <v/>
      </c>
      <c r="D24" s="6">
        <f>C13/D19</f>
        <v/>
      </c>
    </row>
    <row r="25">
      <c r="A25" t="inlineStr">
        <is>
          <t>洋介さん</t>
        </is>
      </c>
      <c r="B25" s="6" t="n"/>
      <c r="C25" s="6">
        <f>C14/C15</f>
        <v/>
      </c>
      <c r="D25" s="6">
        <f>C14/D19</f>
        <v/>
      </c>
    </row>
    <row r="26">
      <c r="A26" t="inlineStr">
        <is>
          <t>Series A投資家</t>
        </is>
      </c>
      <c r="B26" s="6" t="n"/>
      <c r="C26" s="6" t="n"/>
      <c r="D26" s="6">
        <f>D17/D19</f>
        <v/>
      </c>
    </row>
    <row r="27">
      <c r="A27" t="inlineStr">
        <is>
          <t>SOPプール</t>
        </is>
      </c>
      <c r="B27" s="6" t="n"/>
      <c r="C27" s="6" t="n"/>
      <c r="D27" s="6">
        <f>D18/D19</f>
        <v/>
      </c>
    </row>
    <row r="28">
      <c r="A28" t="inlineStr">
        <is>
          <t>合計（検算）</t>
        </is>
      </c>
      <c r="B28" s="6">
        <f>B22</f>
        <v/>
      </c>
      <c r="C28" s="6">
        <f>SUM(C22:C25)</f>
        <v/>
      </c>
      <c r="D28" s="6">
        <f>SUM(D22:D27)</f>
        <v/>
      </c>
    </row>
    <row r="31">
      <c r="A31" s="2" t="inlineStr">
        <is>
          <t>【Series Aプレバリュー別 Founder持分感度】</t>
        </is>
      </c>
      <c r="B31" s="19" t="inlineStr">
        <is>
          <t>Pre 3億</t>
        </is>
      </c>
      <c r="C31" s="19" t="inlineStr">
        <is>
          <t>Pre 5億</t>
        </is>
      </c>
      <c r="D31" s="19" t="inlineStr">
        <is>
          <t>Pre 7億</t>
        </is>
      </c>
      <c r="E31" s="19" t="inlineStr">
        <is>
          <t>Pre 10億</t>
        </is>
      </c>
    </row>
    <row r="32">
      <c r="A32" t="inlineStr">
        <is>
          <t>Series A新規株数</t>
        </is>
      </c>
      <c r="B32" s="8">
        <f>ROUNDDOWN('前提'!B114/(300000000/C15),0)</f>
        <v/>
      </c>
      <c r="C32" s="8">
        <f>ROUNDDOWN('前提'!B114/(500000000/C15),0)</f>
        <v/>
      </c>
      <c r="D32" s="8">
        <f>ROUNDDOWN('前提'!B114/(700000000/C15),0)</f>
        <v/>
      </c>
      <c r="E32" s="8">
        <f>ROUNDDOWN('前提'!B114/(1000000000/C15),0)</f>
        <v/>
      </c>
    </row>
    <row r="33">
      <c r="A33" t="inlineStr">
        <is>
          <t>SOPプール</t>
        </is>
      </c>
      <c r="B33" s="8">
        <f>ROUNDDOWN((C15+B32)*'前提'!B115/(1-'前提'!B115),0)</f>
        <v/>
      </c>
      <c r="C33" s="8">
        <f>ROUNDDOWN((C15+C32)*'前提'!B115/(1-'前提'!B115),0)</f>
        <v/>
      </c>
      <c r="D33" s="8">
        <f>ROUNDDOWN((C15+D32)*'前提'!B115/(1-'前提'!B115),0)</f>
        <v/>
      </c>
      <c r="E33" s="8">
        <f>ROUNDDOWN((C15+E32)*'前提'!B115/(1-'前提'!B115),0)</f>
        <v/>
      </c>
    </row>
    <row r="34">
      <c r="A34" t="inlineStr">
        <is>
          <t>SA後 発行済</t>
        </is>
      </c>
      <c r="B34" s="8">
        <f>C15+B32+B33</f>
        <v/>
      </c>
      <c r="C34" s="8">
        <f>C15+C32+C33</f>
        <v/>
      </c>
      <c r="D34" s="8">
        <f>C15+D32+D33</f>
        <v/>
      </c>
      <c r="E34" s="8">
        <f>C15+E32+E33</f>
        <v/>
      </c>
    </row>
    <row r="35">
      <c r="A35" t="inlineStr">
        <is>
          <t>CEO持分</t>
        </is>
      </c>
      <c r="B35" s="6">
        <f>'前提'!B103/B34</f>
        <v/>
      </c>
      <c r="C35" s="6">
        <f>'前提'!B103/C34</f>
        <v/>
      </c>
      <c r="D35" s="6">
        <f>'前提'!B103/D34</f>
        <v/>
      </c>
      <c r="E35" s="6">
        <f>'前提'!B103/E34</f>
        <v/>
      </c>
    </row>
    <row r="38">
      <c r="A38" s="2" t="inlineStr">
        <is>
          <t>【Series A プレバリュー別必要ARR（マルチプル）】</t>
        </is>
      </c>
      <c r="B38" s="19" t="inlineStr">
        <is>
          <t>10x</t>
        </is>
      </c>
      <c r="C38" s="19" t="inlineStr">
        <is>
          <t>15x</t>
        </is>
      </c>
      <c r="D38" s="19" t="inlineStr">
        <is>
          <t>20x</t>
        </is>
      </c>
      <c r="E38" s="19" t="inlineStr">
        <is>
          <t>30x</t>
        </is>
      </c>
    </row>
    <row r="39">
      <c r="A39" t="inlineStr">
        <is>
          <t>Pre 3億 → 必要ARR</t>
        </is>
      </c>
      <c r="B39" s="5">
        <f>300000000/10</f>
        <v/>
      </c>
      <c r="C39" s="5">
        <f>300000000/15</f>
        <v/>
      </c>
      <c r="D39" s="5">
        <f>300000000/20</f>
        <v/>
      </c>
      <c r="E39" s="5">
        <f>300000000/30</f>
        <v/>
      </c>
    </row>
    <row r="40">
      <c r="A40" t="inlineStr">
        <is>
          <t>Pre 5億 → 必要ARR</t>
        </is>
      </c>
      <c r="B40" s="5">
        <f>500000000/10</f>
        <v/>
      </c>
      <c r="C40" s="5">
        <f>500000000/15</f>
        <v/>
      </c>
      <c r="D40" s="5">
        <f>500000000/20</f>
        <v/>
      </c>
      <c r="E40" s="5">
        <f>500000000/30</f>
        <v/>
      </c>
    </row>
    <row r="41">
      <c r="A41" t="inlineStr">
        <is>
          <t>Pre 7億 → 必要ARR</t>
        </is>
      </c>
      <c r="B41" s="5">
        <f>700000000/10</f>
        <v/>
      </c>
      <c r="C41" s="5">
        <f>700000000/15</f>
        <v/>
      </c>
      <c r="D41" s="5">
        <f>700000000/20</f>
        <v/>
      </c>
      <c r="E41" s="5">
        <f>700000000/30</f>
        <v/>
      </c>
    </row>
    <row r="42">
      <c r="A42" t="inlineStr">
        <is>
          <t>Pre 10億 → 必要ARR</t>
        </is>
      </c>
      <c r="B42" s="5">
        <f>1000000000/10</f>
        <v/>
      </c>
      <c r="C42" s="5">
        <f>1000000000/15</f>
        <v/>
      </c>
      <c r="D42" s="5">
        <f>1000000000/20</f>
        <v/>
      </c>
      <c r="E42" s="5">
        <f>1000000000/30</f>
        <v/>
      </c>
    </row>
    <row r="44">
      <c r="A44" t="inlineStr">
        <is>
          <t>参考：M24 ARR（想定）</t>
        </is>
      </c>
      <c r="B44" s="5">
        <f>'月次事業計画'!Y66</f>
        <v/>
      </c>
    </row>
    <row r="45">
      <c r="A45" t="inlineStr">
        <is>
          <t>参考：M36 ARR</t>
        </is>
      </c>
      <c r="B45" s="5">
        <f>'月次事業計画'!AK66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資金使途（シード18ヶ月）</t>
        </is>
      </c>
    </row>
    <row r="3">
      <c r="A3" s="22" t="inlineStr">
        <is>
          <t>項目</t>
        </is>
      </c>
      <c r="B3" s="22" t="inlineStr">
        <is>
          <t>18ヶ月合計</t>
        </is>
      </c>
      <c r="C3" s="22" t="inlineStr">
        <is>
          <t>比率</t>
        </is>
      </c>
      <c r="D3" s="22" t="inlineStr">
        <is>
          <t>備考</t>
        </is>
      </c>
    </row>
    <row r="4">
      <c r="A4" t="inlineStr">
        <is>
          <t>CEO人件費</t>
        </is>
      </c>
      <c r="B4" s="5">
        <f>SUM('月次事業計画'!B32:S32)</f>
        <v/>
      </c>
      <c r="C4" s="6">
        <f>B4/$B$21</f>
        <v/>
      </c>
      <c r="D4" t="inlineStr"/>
    </row>
    <row r="5">
      <c r="A5" t="inlineStr">
        <is>
          <t>エンジニア（開発）</t>
        </is>
      </c>
      <c r="B5" s="5">
        <f>SUM('月次事業計画'!B33:S33)</f>
        <v/>
      </c>
      <c r="C5" s="6">
        <f>B5/$B$21</f>
        <v/>
      </c>
      <c r="D5" t="inlineStr"/>
    </row>
    <row r="6">
      <c r="A6" t="inlineStr">
        <is>
          <t>営業サポート</t>
        </is>
      </c>
      <c r="B6" s="5">
        <f>SUM('月次事業計画'!B34:S34)</f>
        <v/>
      </c>
      <c r="C6" s="6">
        <f>B6/$B$21</f>
        <v/>
      </c>
      <c r="D6" t="inlineStr"/>
    </row>
    <row r="7">
      <c r="A7" t="inlineStr">
        <is>
          <t>BPO人材（事務長+オペ）</t>
        </is>
      </c>
      <c r="B7" s="5">
        <f>SUM('月次事業計画'!B35:S35)+SUM('月次事業計画'!B36:S36)</f>
        <v/>
      </c>
      <c r="C7" s="6">
        <f>B7/$B$21</f>
        <v/>
      </c>
      <c r="D7" t="inlineStr">
        <is>
          <t>SUM2つ</t>
        </is>
      </c>
    </row>
    <row r="8">
      <c r="A8" t="inlineStr">
        <is>
          <t>CS人件費</t>
        </is>
      </c>
      <c r="B8" s="5">
        <f>SUM('月次事業計画'!B37:S37)</f>
        <v/>
      </c>
      <c r="C8" s="6">
        <f>B8/$B$21</f>
        <v/>
      </c>
      <c r="D8" t="inlineStr"/>
    </row>
    <row r="9">
      <c r="A9" t="inlineStr">
        <is>
          <t>社会保険料</t>
        </is>
      </c>
      <c r="B9" s="5">
        <f>SUM('月次事業計画'!B38:S38)</f>
        <v/>
      </c>
      <c r="C9" s="6">
        <f>B9/$B$21</f>
        <v/>
      </c>
      <c r="D9" t="inlineStr"/>
    </row>
    <row r="10">
      <c r="A10" t="inlineStr">
        <is>
          <t>福利厚生</t>
        </is>
      </c>
      <c r="B10" s="5">
        <f>SUM('月次事業計画'!B39:S39)</f>
        <v/>
      </c>
      <c r="C10" s="6">
        <f>B10/$B$21</f>
        <v/>
      </c>
      <c r="D10" t="inlineStr"/>
    </row>
    <row r="11">
      <c r="A11" t="inlineStr">
        <is>
          <t>FAQ構築原価</t>
        </is>
      </c>
      <c r="B11" s="5">
        <f>SUM('月次事業計画'!B25:S25)</f>
        <v/>
      </c>
      <c r="C11" s="6">
        <f>B11/$B$21</f>
        <v/>
      </c>
      <c r="D11" t="inlineStr"/>
    </row>
    <row r="12">
      <c r="A12" t="inlineStr">
        <is>
          <t>月額メンテ原価</t>
        </is>
      </c>
      <c r="B12" s="5">
        <f>SUM('月次事業計画'!B26:S26)</f>
        <v/>
      </c>
      <c r="C12" s="6">
        <f>B12/$B$21</f>
        <v/>
      </c>
      <c r="D12" t="inlineStr"/>
    </row>
    <row r="13">
      <c r="A13" t="inlineStr">
        <is>
          <t>LLM API</t>
        </is>
      </c>
      <c r="B13" s="5">
        <f>SUM('月次事業計画'!B27:S27)</f>
        <v/>
      </c>
      <c r="C13" s="6">
        <f>B13/$B$21</f>
        <v/>
      </c>
      <c r="D13" t="inlineStr"/>
    </row>
    <row r="14">
      <c r="A14" t="inlineStr">
        <is>
          <t>インフラ（GCP）</t>
        </is>
      </c>
      <c r="B14" s="5">
        <f>SUM('月次事業計画'!B28:S28)</f>
        <v/>
      </c>
      <c r="C14" s="6">
        <f>B14/$B$21</f>
        <v/>
      </c>
      <c r="D14" t="inlineStr"/>
    </row>
    <row r="15">
      <c r="A15" t="inlineStr">
        <is>
          <t>決済手数料</t>
        </is>
      </c>
      <c r="B15" s="5">
        <f>SUM('月次事業計画'!B29:S29)</f>
        <v/>
      </c>
      <c r="C15" s="6">
        <f>B15/$B$21</f>
        <v/>
      </c>
      <c r="D15" t="inlineStr"/>
    </row>
    <row r="16">
      <c r="A16" t="inlineStr">
        <is>
          <t>広告宣伝費</t>
        </is>
      </c>
      <c r="B16" s="5">
        <f>SUM('月次事業計画'!B49:S49)</f>
        <v/>
      </c>
      <c r="C16" s="6">
        <f>B16/$B$21</f>
        <v/>
      </c>
      <c r="D16" t="inlineStr"/>
    </row>
    <row r="17">
      <c r="A17" t="inlineStr">
        <is>
          <t>オフィス家賃</t>
        </is>
      </c>
      <c r="B17" s="5">
        <f>SUM('月次事業計画'!B43:S43)</f>
        <v/>
      </c>
      <c r="C17" s="6">
        <f>B17/$B$21</f>
        <v/>
      </c>
      <c r="D17" t="inlineStr"/>
    </row>
    <row r="18">
      <c r="A18" t="inlineStr">
        <is>
          <t>SaaS費用</t>
        </is>
      </c>
      <c r="B18" s="5">
        <f>SUM('月次事業計画'!B44:S44)</f>
        <v/>
      </c>
      <c r="C18" s="6">
        <f>B18/$B$21</f>
        <v/>
      </c>
      <c r="D18" t="inlineStr"/>
    </row>
    <row r="19">
      <c r="A19" t="inlineStr">
        <is>
          <t>通信・会計・法務・保険</t>
        </is>
      </c>
      <c r="B19" s="5">
        <f>SUM('月次事業計画'!B45:S45)+SUM('月次事業計画'!B46:S46)+SUM('月次事業計画'!B47:S47)+SUM('月次事業計画'!B48:S48)</f>
        <v/>
      </c>
      <c r="C19" s="6">
        <f>B19/$B$21</f>
        <v/>
      </c>
      <c r="D19" t="inlineStr">
        <is>
          <t>4項目合算</t>
        </is>
      </c>
    </row>
    <row r="20">
      <c r="A20" t="inlineStr">
        <is>
          <t>その他固定費</t>
        </is>
      </c>
      <c r="B20" s="5">
        <f>SUM('月次事業計画'!B50:S50)</f>
        <v/>
      </c>
      <c r="C20" s="6">
        <f>B20/$B$21</f>
        <v/>
      </c>
      <c r="D20" t="inlineStr"/>
    </row>
    <row r="21">
      <c r="A21" s="19" t="inlineStr">
        <is>
          <t>合計</t>
        </is>
      </c>
      <c r="B21" s="23">
        <f>SUM(B4:B20)</f>
        <v/>
      </c>
      <c r="C21" s="6">
        <f>100%</f>
        <v/>
      </c>
    </row>
    <row r="24">
      <c r="A24" s="2" t="inlineStr">
        <is>
          <t>【ランウェイ試算】</t>
        </is>
      </c>
    </row>
    <row r="25">
      <c r="A25" t="inlineStr">
        <is>
          <t>調達額合計（シード＋公庫）</t>
        </is>
      </c>
      <c r="B25" s="5">
        <f>'前提'!B106+'前提'!B107+'前提'!B108+'前提'!B109</f>
        <v/>
      </c>
    </row>
    <row r="26">
      <c r="A26" t="inlineStr">
        <is>
          <t>18ヶ月バーン（コスト合計）</t>
        </is>
      </c>
      <c r="B26" s="5">
        <f>B21</f>
        <v/>
      </c>
    </row>
    <row r="27">
      <c r="A27" t="inlineStr">
        <is>
          <t>Phase1平均バーン（M1-6）</t>
        </is>
      </c>
      <c r="B27" s="5">
        <f>AVERAGE('月次事業計画'!B53:G53)</f>
        <v/>
      </c>
    </row>
    <row r="28">
      <c r="A28" t="inlineStr">
        <is>
          <t>Phase2平均バーン（M7-12）</t>
        </is>
      </c>
      <c r="B28" s="5">
        <f>AVERAGE('月次事業計画'!H53:M53)</f>
        <v/>
      </c>
    </row>
    <row r="29">
      <c r="A29" t="inlineStr">
        <is>
          <t>M12末キャッシュ</t>
        </is>
      </c>
      <c r="B29" s="5">
        <f>'月次事業計画'!M71</f>
        <v/>
      </c>
    </row>
    <row r="30">
      <c r="A30" t="inlineStr">
        <is>
          <t>M18末キャッシュ</t>
        </is>
      </c>
      <c r="B30" s="5">
        <f>'月次事業計画'!S71</f>
        <v/>
      </c>
    </row>
    <row r="31">
      <c r="A31" t="inlineStr">
        <is>
          <t>M24末キャッシュ（SeriesA前）</t>
        </is>
      </c>
      <c r="B31" s="5">
        <f>'月次事業計画'!Y71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2026-04-22T06:00:40Z</dcterms:created>
  <dcterms:modified xsi:type="dcterms:W3CDTF">2026-04-22T06:03:38Z</dcterms:modified>
</cp:coreProperties>
</file>