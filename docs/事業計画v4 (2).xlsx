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前提" sheetId="1" r:id="rId4"/>
    <sheet state="visible" name="月次事業計画" sheetId="2" r:id="rId5"/>
    <sheet state="visible" name="年次事業計画" sheetId="3" r:id="rId6"/>
    <sheet state="visible" name="資本政策表" sheetId="4" r:id="rId7"/>
    <sheet state="visible" name="資金使途" sheetId="5" r:id="rId8"/>
  </sheets>
  <definedNames/>
  <calcPr/>
  <extLst>
    <ext uri="GoogleSheetsCustomDataVersion2">
      <go:sheetsCustomData xmlns:go="http://customooxmlschemas.google.com/" r:id="rId9" roundtripDataChecksum="pn8W+VrC8TUrieL8ptzmTe1WfcbPkJWYVqnE1EDl+Ls="/>
    </ext>
  </extLst>
</workbook>
</file>

<file path=xl/sharedStrings.xml><?xml version="1.0" encoding="utf-8"?>
<sst xmlns="http://schemas.openxmlformats.org/spreadsheetml/2006/main" count="311" uniqueCount="292">
  <si>
    <r>
      <rPr>
        <rFont val="Arial"/>
        <b/>
        <color theme="1"/>
        <sz val="13.0"/>
      </rPr>
      <t xml:space="preserve">SuguDesk </t>
    </r>
    <r>
      <rPr>
        <rFont val="Noto Sans CJK SC"/>
        <b/>
        <color theme="1"/>
        <sz val="13.0"/>
      </rPr>
      <t>事業計画 前提条件</t>
    </r>
  </si>
  <si>
    <t>【価格前提】</t>
  </si>
  <si>
    <r>
      <rPr>
        <rFont val="Arial"/>
        <color theme="1"/>
        <sz val="10.0"/>
      </rPr>
      <t>SuguDesk ARPA</t>
    </r>
    <r>
      <rPr>
        <rFont val="Noto Sans CJK SC"/>
        <color theme="1"/>
        <sz val="10.0"/>
      </rPr>
      <t>（月額）</t>
    </r>
  </si>
  <si>
    <t>チャットボット基本（ライトとスタンダードの平均）</t>
  </si>
  <si>
    <r>
      <rPr>
        <rFont val="Arial"/>
        <color theme="1"/>
        <sz val="10.0"/>
      </rPr>
      <t xml:space="preserve">SuguDesk </t>
    </r>
    <r>
      <rPr>
        <rFont val="Noto Sans CJK SC"/>
        <color theme="1"/>
        <sz val="10.0"/>
      </rPr>
      <t>導入費（初期）</t>
    </r>
  </si>
  <si>
    <r>
      <rPr>
        <rFont val="Arial"/>
        <color rgb="FF888888"/>
        <sz val="9.0"/>
      </rPr>
      <t>1</t>
    </r>
    <r>
      <rPr>
        <rFont val="Noto Sans CJK SC"/>
        <color rgb="FF888888"/>
        <sz val="9.0"/>
      </rPr>
      <t>院あたり（ライトとスタンダードの平均）</t>
    </r>
  </si>
  <si>
    <r>
      <rPr>
        <rFont val="Arial"/>
        <color theme="1"/>
        <sz val="10.0"/>
      </rPr>
      <t>BPO</t>
    </r>
    <r>
      <rPr>
        <rFont val="Noto Sans CJK SC"/>
        <color theme="1"/>
        <sz val="10.0"/>
      </rPr>
      <t xml:space="preserve">事務長代行 </t>
    </r>
    <r>
      <rPr>
        <rFont val="Arial"/>
        <color theme="1"/>
        <sz val="10.0"/>
      </rPr>
      <t>ARPA</t>
    </r>
    <r>
      <rPr>
        <rFont val="Noto Sans CJK SC"/>
        <color theme="1"/>
        <sz val="10.0"/>
      </rPr>
      <t>（月額）</t>
    </r>
  </si>
  <si>
    <t>算定業務＋事務長代行</t>
  </si>
  <si>
    <r>
      <rPr>
        <rFont val="Arial"/>
        <color theme="1"/>
        <sz val="10.0"/>
      </rPr>
      <t>BPO</t>
    </r>
    <r>
      <rPr>
        <rFont val="Noto Sans CJK SC"/>
        <color theme="1"/>
        <sz val="10.0"/>
      </rPr>
      <t>採用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 xml:space="preserve">集患 </t>
    </r>
    <r>
      <rPr>
        <rFont val="Arial"/>
        <color theme="1"/>
        <sz val="10.0"/>
      </rPr>
      <t>ARPA</t>
    </r>
    <r>
      <rPr>
        <rFont val="Noto Sans CJK SC"/>
        <color theme="1"/>
        <sz val="10.0"/>
      </rPr>
      <t>（月額）</t>
    </r>
  </si>
  <si>
    <r>
      <rPr>
        <rFont val="Arial"/>
        <color rgb="FF888888"/>
        <sz val="9.0"/>
      </rPr>
      <t>BPO#2</t>
    </r>
    <r>
      <rPr>
        <rFont val="Noto Sans CJK SC"/>
        <color rgb="FF888888"/>
        <sz val="9.0"/>
      </rPr>
      <t>。</t>
    </r>
    <r>
      <rPr>
        <rFont val="Arial"/>
        <color rgb="FF888888"/>
        <sz val="9.0"/>
      </rPr>
      <t>M13</t>
    </r>
    <r>
      <rPr>
        <rFont val="Noto Sans CJK SC"/>
        <color rgb="FF888888"/>
        <sz val="9.0"/>
      </rPr>
      <t>以降</t>
    </r>
  </si>
  <si>
    <r>
      <rPr>
        <rFont val="Arial"/>
        <color theme="1"/>
        <sz val="10.0"/>
      </rPr>
      <t>SuguDesk</t>
    </r>
    <r>
      <rPr>
        <rFont val="Noto Sans CJK SC"/>
        <color theme="1"/>
        <sz val="10.0"/>
      </rPr>
      <t>チャーン率（月次）</t>
    </r>
  </si>
  <si>
    <r>
      <rPr>
        <rFont val="Arial"/>
        <color theme="1"/>
        <sz val="10.0"/>
      </rPr>
      <t>BPO</t>
    </r>
    <r>
      <rPr>
        <rFont val="Noto Sans CJK SC"/>
        <color theme="1"/>
        <sz val="10.0"/>
      </rPr>
      <t>チャーン率（月次）</t>
    </r>
  </si>
  <si>
    <t>粘着性高い</t>
  </si>
  <si>
    <r>
      <rPr>
        <rFont val="Arial"/>
        <color theme="1"/>
        <sz val="10.0"/>
      </rPr>
      <t>BPO</t>
    </r>
    <r>
      <rPr>
        <rFont val="Noto Sans CJK SC"/>
        <color theme="1"/>
        <sz val="10.0"/>
      </rPr>
      <t>アップセル率（月次）</t>
    </r>
  </si>
  <si>
    <r>
      <rPr>
        <rFont val="Arial"/>
        <color rgb="FF888888"/>
        <sz val="9.0"/>
      </rPr>
      <t>SuguDesk→BPO</t>
    </r>
    <r>
      <rPr>
        <rFont val="Noto Sans CJK SC"/>
        <color rgb="FF888888"/>
        <sz val="9.0"/>
      </rPr>
      <t>転換率。</t>
    </r>
    <r>
      <rPr>
        <rFont val="Arial"/>
        <color rgb="FF888888"/>
        <sz val="9.0"/>
      </rPr>
      <t>M7</t>
    </r>
    <r>
      <rPr>
        <rFont val="Noto Sans CJK SC"/>
        <color rgb="FF888888"/>
        <sz val="9.0"/>
      </rPr>
      <t>以降</t>
    </r>
  </si>
  <si>
    <r>
      <rPr>
        <rFont val="Noto Sans CJK SC"/>
        <b/>
        <color theme="1"/>
        <sz val="10.0"/>
      </rPr>
      <t>【営業前提：月間新規</t>
    </r>
    <r>
      <rPr>
        <rFont val="Noto Sans"/>
        <b/>
        <color theme="1"/>
        <sz val="10.0"/>
      </rPr>
      <t>SuguDesk</t>
    </r>
    <r>
      <rPr>
        <rFont val="Noto Sans CJK SC"/>
        <b/>
        <color theme="1"/>
        <sz val="10.0"/>
      </rPr>
      <t>契約数】</t>
    </r>
  </si>
  <si>
    <r>
      <rPr>
        <rFont val="Arial"/>
        <color theme="1"/>
        <sz val="10.0"/>
      </rPr>
      <t>Phase1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M1-M6</t>
    </r>
    <r>
      <rPr>
        <rFont val="Noto Sans CJK SC"/>
        <color theme="1"/>
        <sz val="10.0"/>
      </rPr>
      <t>）</t>
    </r>
  </si>
  <si>
    <t>直販</t>
  </si>
  <si>
    <r>
      <rPr>
        <rFont val="Arial"/>
        <color theme="1"/>
        <sz val="10.0"/>
      </rPr>
      <t>Phase2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M7-M12</t>
    </r>
    <r>
      <rPr>
        <rFont val="Noto Sans CJK SC"/>
        <color theme="1"/>
        <sz val="10.0"/>
      </rPr>
      <t>）</t>
    </r>
  </si>
  <si>
    <r>
      <rPr>
        <rFont val="Arial"/>
        <color rgb="FF888888"/>
        <sz val="9.0"/>
      </rPr>
      <t>v2</t>
    </r>
    <r>
      <rPr>
        <rFont val="Noto Sans CJK SC"/>
        <color rgb="FF888888"/>
        <sz val="9.0"/>
      </rPr>
      <t>リリース後　ギミックとの提携加速</t>
    </r>
  </si>
  <si>
    <r>
      <rPr>
        <rFont val="Arial"/>
        <color theme="1"/>
        <sz val="10.0"/>
      </rPr>
      <t>Phase3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M13-M18</t>
    </r>
    <r>
      <rPr>
        <rFont val="Noto Sans CJK SC"/>
        <color theme="1"/>
        <sz val="10.0"/>
      </rPr>
      <t>）</t>
    </r>
  </si>
  <si>
    <r>
      <rPr>
        <rFont val="Arial"/>
        <color theme="1"/>
        <sz val="10.0"/>
      </rPr>
      <t>Phase4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M19-M24</t>
    </r>
    <r>
      <rPr>
        <rFont val="Noto Sans CJK SC"/>
        <color theme="1"/>
        <sz val="10.0"/>
      </rPr>
      <t>）</t>
    </r>
  </si>
  <si>
    <r>
      <rPr>
        <rFont val="Arial"/>
        <color rgb="FF888888"/>
        <sz val="9.0"/>
      </rPr>
      <t>Series A</t>
    </r>
    <r>
      <rPr>
        <rFont val="Noto Sans CJK SC"/>
        <color rgb="FF888888"/>
        <sz val="9.0"/>
      </rPr>
      <t>前</t>
    </r>
  </si>
  <si>
    <r>
      <rPr>
        <rFont val="Arial"/>
        <color theme="1"/>
        <sz val="10.0"/>
      </rPr>
      <t>Phase5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M25-M36</t>
    </r>
    <r>
      <rPr>
        <rFont val="Noto Sans CJK SC"/>
        <color theme="1"/>
        <sz val="10.0"/>
      </rPr>
      <t>）</t>
    </r>
  </si>
  <si>
    <r>
      <rPr>
        <rFont val="Arial"/>
        <color rgb="FF888888"/>
        <sz val="9.0"/>
      </rPr>
      <t>Series A</t>
    </r>
    <r>
      <rPr>
        <rFont val="Noto Sans CJK SC"/>
        <color rgb="FF888888"/>
        <sz val="9.0"/>
      </rPr>
      <t>後</t>
    </r>
  </si>
  <si>
    <r>
      <rPr>
        <rFont val="Arial"/>
        <color theme="1"/>
        <sz val="10.0"/>
      </rPr>
      <t>Phase6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M37-M48</t>
    </r>
    <r>
      <rPr>
        <rFont val="Noto Sans CJK SC"/>
        <color theme="1"/>
        <sz val="10.0"/>
      </rPr>
      <t>）</t>
    </r>
  </si>
  <si>
    <t>スケール期</t>
  </si>
  <si>
    <r>
      <rPr>
        <rFont val="Arial"/>
        <color theme="1"/>
        <sz val="10.0"/>
      </rPr>
      <t>Phase7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M49-M60</t>
    </r>
    <r>
      <rPr>
        <rFont val="Noto Sans CJK SC"/>
        <color theme="1"/>
        <sz val="10.0"/>
      </rPr>
      <t>）</t>
    </r>
  </si>
  <si>
    <t>成熟期</t>
  </si>
  <si>
    <t>【コスト前提：人件費（月額）】</t>
  </si>
  <si>
    <r>
      <rPr>
        <rFont val="Arial"/>
        <color theme="1"/>
        <sz val="10.0"/>
      </rPr>
      <t>CEO</t>
    </r>
    <r>
      <rPr>
        <rFont val="Noto Sans CJK SC"/>
        <color theme="1"/>
        <sz val="10.0"/>
      </rPr>
      <t>報酬</t>
    </r>
  </si>
  <si>
    <t>エンジニア時給</t>
  </si>
  <si>
    <t>業務委託</t>
  </si>
  <si>
    <r>
      <rPr>
        <rFont val="Noto Sans CJK SC"/>
        <color theme="1"/>
        <sz val="10.0"/>
      </rPr>
      <t>エンジニア月間稼働</t>
    </r>
    <r>
      <rPr>
        <rFont val="Noto Sans"/>
        <color theme="1"/>
        <sz val="10.0"/>
      </rPr>
      <t>h</t>
    </r>
    <r>
      <rPr>
        <rFont val="Noto Sans CJK SC"/>
        <color theme="1"/>
        <sz val="10.0"/>
      </rPr>
      <t>（</t>
    </r>
    <r>
      <rPr>
        <rFont val="Noto Sans"/>
        <color theme="1"/>
        <sz val="10.0"/>
      </rPr>
      <t>Phase1</t>
    </r>
    <r>
      <rPr>
        <rFont val="Noto Sans CJK SC"/>
        <color theme="1"/>
        <sz val="10.0"/>
      </rPr>
      <t>）</t>
    </r>
  </si>
  <si>
    <r>
      <rPr>
        <rFont val="Arial"/>
        <color rgb="FF888888"/>
        <sz val="9.0"/>
      </rPr>
      <t>3h/</t>
    </r>
    <r>
      <rPr>
        <rFont val="Noto Sans CJK SC"/>
        <color rgb="FF888888"/>
        <sz val="9.0"/>
      </rPr>
      <t>日</t>
    </r>
    <r>
      <rPr>
        <rFont val="Arial"/>
        <color rgb="FF888888"/>
        <sz val="9.0"/>
      </rPr>
      <t>×5</t>
    </r>
    <r>
      <rPr>
        <rFont val="Noto Sans CJK SC"/>
        <color rgb="FF888888"/>
        <sz val="9.0"/>
      </rPr>
      <t>日</t>
    </r>
    <r>
      <rPr>
        <rFont val="Arial"/>
        <color rgb="FF888888"/>
        <sz val="9.0"/>
      </rPr>
      <t>×4.3</t>
    </r>
    <r>
      <rPr>
        <rFont val="Noto Sans CJK SC"/>
        <color rgb="FF888888"/>
        <sz val="9.0"/>
      </rPr>
      <t>週</t>
    </r>
  </si>
  <si>
    <r>
      <rPr>
        <rFont val="Noto Sans CJK SC"/>
        <color theme="1"/>
        <sz val="10.0"/>
      </rPr>
      <t>エンジニア月間稼働</t>
    </r>
    <r>
      <rPr>
        <rFont val="Noto Sans"/>
        <color theme="1"/>
        <sz val="10.0"/>
      </rPr>
      <t>h</t>
    </r>
    <r>
      <rPr>
        <rFont val="Noto Sans CJK SC"/>
        <color theme="1"/>
        <sz val="10.0"/>
      </rPr>
      <t>（</t>
    </r>
    <r>
      <rPr>
        <rFont val="Noto Sans"/>
        <color theme="1"/>
        <sz val="10.0"/>
      </rPr>
      <t>Phase2+</t>
    </r>
    <r>
      <rPr>
        <rFont val="Noto Sans CJK SC"/>
        <color theme="1"/>
        <sz val="10.0"/>
      </rPr>
      <t>）</t>
    </r>
  </si>
  <si>
    <t>メンテナンスモード</t>
  </si>
  <si>
    <r>
      <rPr>
        <rFont val="Noto Sans CJK SC"/>
        <color theme="1"/>
        <sz val="10.0"/>
      </rPr>
      <t>エンジニア正社員 単価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 xml:space="preserve">人（月額） </t>
    </r>
  </si>
  <si>
    <r>
      <rPr>
        <rFont val="Arial"/>
        <color theme="1"/>
        <sz val="10.0"/>
      </rPr>
      <t>BPO</t>
    </r>
    <r>
      <rPr>
        <rFont val="Noto Sans CJK SC"/>
        <color theme="1"/>
        <sz val="10.0"/>
      </rPr>
      <t>事務長 単価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人（月額）</t>
    </r>
  </si>
  <si>
    <r>
      <rPr>
        <rFont val="Arial"/>
        <color theme="1"/>
        <sz val="10.0"/>
      </rPr>
      <t>BPO</t>
    </r>
    <r>
      <rPr>
        <rFont val="Noto Sans CJK SC"/>
        <color theme="1"/>
        <sz val="10.0"/>
      </rPr>
      <t>オペ 単価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人（月額）</t>
    </r>
  </si>
  <si>
    <r>
      <rPr>
        <rFont val="Noto Sans CJK SC"/>
        <color theme="1"/>
        <sz val="10.0"/>
      </rPr>
      <t>営業サポート 単価</t>
    </r>
    <r>
      <rPr>
        <rFont val="Noto Sans"/>
        <color theme="1"/>
        <sz val="10.0"/>
      </rPr>
      <t>/</t>
    </r>
    <r>
      <rPr>
        <rFont val="Noto Sans CJK SC"/>
        <color theme="1"/>
        <sz val="10.0"/>
      </rPr>
      <t>人（月額）</t>
    </r>
  </si>
  <si>
    <r>
      <rPr>
        <rFont val="Arial"/>
        <color theme="1"/>
        <sz val="10.0"/>
      </rPr>
      <t xml:space="preserve">CS </t>
    </r>
    <r>
      <rPr>
        <rFont val="Noto Sans CJK SC"/>
        <color theme="1"/>
        <sz val="10.0"/>
      </rPr>
      <t>単価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人（月額）</t>
    </r>
  </si>
  <si>
    <r>
      <rPr>
        <rFont val="Noto Sans CJK SC"/>
        <color theme="1"/>
        <sz val="10.0"/>
      </rPr>
      <t>営業</t>
    </r>
    <r>
      <rPr>
        <rFont val="Noto Sans"/>
        <color theme="1"/>
        <sz val="10.0"/>
      </rPr>
      <t>/GTM</t>
    </r>
    <r>
      <rPr>
        <rFont val="Noto Sans CJK SC"/>
        <color theme="1"/>
        <sz val="10.0"/>
      </rPr>
      <t>費（月額基準）</t>
    </r>
  </si>
  <si>
    <t>その他固定費</t>
  </si>
  <si>
    <t>法務・会計・雑費</t>
  </si>
  <si>
    <t>【コスト前提：インフラ（実績ベース）】</t>
  </si>
  <si>
    <r>
      <rPr>
        <rFont val="Arial"/>
        <color theme="1"/>
        <sz val="10.0"/>
      </rPr>
      <t>LLM API</t>
    </r>
    <r>
      <rPr>
        <rFont val="Noto Sans CJK SC"/>
        <color theme="1"/>
        <sz val="10.0"/>
      </rPr>
      <t>変動費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院（月額）</t>
    </r>
  </si>
  <si>
    <r>
      <rPr>
        <rFont val="Arial"/>
        <color rgb="FF888888"/>
        <sz val="9.0"/>
      </rPr>
      <t>Vertex AI Gemini Flash</t>
    </r>
    <r>
      <rPr>
        <rFont val="Noto Sans CJK SC"/>
        <color rgb="FF888888"/>
        <sz val="9.0"/>
      </rPr>
      <t>実績</t>
    </r>
  </si>
  <si>
    <r>
      <rPr>
        <rFont val="Arial"/>
        <color theme="1"/>
        <sz val="10.0"/>
      </rPr>
      <t xml:space="preserve">Cloud SQL </t>
    </r>
    <r>
      <rPr>
        <rFont val="Noto Sans CJK SC"/>
        <color theme="1"/>
        <sz val="10.0"/>
      </rPr>
      <t>基本料金（月額）</t>
    </r>
  </si>
  <si>
    <r>
      <rPr>
        <rFont val="Noto Sans CJK SC"/>
        <color rgb="FF888888"/>
        <sz val="9.0"/>
      </rPr>
      <t>〜</t>
    </r>
    <r>
      <rPr>
        <rFont val="Noto Sans"/>
        <color rgb="FF888888"/>
        <sz val="9.0"/>
      </rPr>
      <t>50</t>
    </r>
    <r>
      <rPr>
        <rFont val="Noto Sans CJK SC"/>
        <color rgb="FF888888"/>
        <sz val="9.0"/>
      </rPr>
      <t>院</t>
    </r>
  </si>
  <si>
    <r>
      <rPr>
        <rFont val="Arial"/>
        <color theme="1"/>
        <sz val="10.0"/>
      </rPr>
      <t xml:space="preserve">Cloud SQL </t>
    </r>
    <r>
      <rPr>
        <rFont val="Noto Sans CJK SC"/>
        <color theme="1"/>
        <sz val="10.0"/>
      </rPr>
      <t>拡張料金（月額）</t>
    </r>
  </si>
  <si>
    <r>
      <rPr>
        <rFont val="Arial"/>
        <color rgb="FF888888"/>
        <sz val="9.0"/>
      </rPr>
      <t>50</t>
    </r>
    <r>
      <rPr>
        <rFont val="Noto Sans CJK SC"/>
        <color rgb="FF888888"/>
        <sz val="9.0"/>
      </rPr>
      <t>〜</t>
    </r>
    <r>
      <rPr>
        <rFont val="Arial"/>
        <color rgb="FF888888"/>
        <sz val="9.0"/>
      </rPr>
      <t>200</t>
    </r>
    <r>
      <rPr>
        <rFont val="Noto Sans CJK SC"/>
        <color rgb="FF888888"/>
        <sz val="9.0"/>
      </rPr>
      <t>院</t>
    </r>
  </si>
  <si>
    <r>
      <rPr>
        <rFont val="Arial"/>
        <color theme="1"/>
        <sz val="10.0"/>
      </rPr>
      <t xml:space="preserve">Cloud SQL </t>
    </r>
    <r>
      <rPr>
        <rFont val="Noto Sans CJK SC"/>
        <color theme="1"/>
        <sz val="10.0"/>
      </rPr>
      <t>大規模料金（月額）</t>
    </r>
  </si>
  <si>
    <r>
      <rPr>
        <rFont val="Arial"/>
        <color rgb="FF888888"/>
        <sz val="9.0"/>
      </rPr>
      <t>200</t>
    </r>
    <r>
      <rPr>
        <rFont val="Noto Sans CJK SC"/>
        <color rgb="FF888888"/>
        <sz val="9.0"/>
      </rPr>
      <t>院超</t>
    </r>
  </si>
  <si>
    <r>
      <rPr>
        <rFont val="Arial"/>
        <color theme="1"/>
        <sz val="10.0"/>
      </rPr>
      <t xml:space="preserve">Cloud Run </t>
    </r>
    <r>
      <rPr>
        <rFont val="Noto Sans CJK SC"/>
        <color theme="1"/>
        <sz val="10.0"/>
      </rPr>
      <t>基本料金（月額）</t>
    </r>
  </si>
  <si>
    <r>
      <rPr>
        <rFont val="Noto Sans CJK SC"/>
        <color rgb="FF888888"/>
        <sz val="9.0"/>
      </rPr>
      <t>〜</t>
    </r>
    <r>
      <rPr>
        <rFont val="Noto Sans"/>
        <color rgb="FF888888"/>
        <sz val="9.0"/>
      </rPr>
      <t>50</t>
    </r>
    <r>
      <rPr>
        <rFont val="Noto Sans CJK SC"/>
        <color rgb="FF888888"/>
        <sz val="9.0"/>
      </rPr>
      <t>院</t>
    </r>
  </si>
  <si>
    <r>
      <rPr>
        <rFont val="Arial"/>
        <color theme="1"/>
        <sz val="10.0"/>
      </rPr>
      <t xml:space="preserve">Cloud Run </t>
    </r>
    <r>
      <rPr>
        <rFont val="Noto Sans CJK SC"/>
        <color theme="1"/>
        <sz val="10.0"/>
      </rPr>
      <t>拡張料金（月額）</t>
    </r>
  </si>
  <si>
    <r>
      <rPr>
        <rFont val="Arial"/>
        <color rgb="FF888888"/>
        <sz val="9.0"/>
      </rPr>
      <t>50</t>
    </r>
    <r>
      <rPr>
        <rFont val="Noto Sans CJK SC"/>
        <color rgb="FF888888"/>
        <sz val="9.0"/>
      </rPr>
      <t>〜</t>
    </r>
    <r>
      <rPr>
        <rFont val="Arial"/>
        <color rgb="FF888888"/>
        <sz val="9.0"/>
      </rPr>
      <t>200</t>
    </r>
    <r>
      <rPr>
        <rFont val="Noto Sans CJK SC"/>
        <color rgb="FF888888"/>
        <sz val="9.0"/>
      </rPr>
      <t>院</t>
    </r>
  </si>
  <si>
    <r>
      <rPr>
        <rFont val="Arial"/>
        <color theme="1"/>
        <sz val="10.0"/>
      </rPr>
      <t xml:space="preserve">Cloud Run </t>
    </r>
    <r>
      <rPr>
        <rFont val="Noto Sans CJK SC"/>
        <color theme="1"/>
        <sz val="10.0"/>
      </rPr>
      <t>大規模料金（月額）</t>
    </r>
  </si>
  <si>
    <r>
      <rPr>
        <rFont val="Arial"/>
        <color rgb="FF888888"/>
        <sz val="9.0"/>
      </rPr>
      <t>200</t>
    </r>
    <r>
      <rPr>
        <rFont val="Noto Sans CJK SC"/>
        <color rgb="FF888888"/>
        <sz val="9.0"/>
      </rPr>
      <t>院超</t>
    </r>
  </si>
  <si>
    <t>【人員スケーリング前提】</t>
  </si>
  <si>
    <r>
      <rPr>
        <rFont val="Arial"/>
        <color theme="1"/>
        <sz val="10.0"/>
      </rPr>
      <t>CS 1</t>
    </r>
    <r>
      <rPr>
        <rFont val="Noto Sans CJK SC"/>
        <color theme="1"/>
        <sz val="10.0"/>
      </rPr>
      <t>人あたり担当</t>
    </r>
    <r>
      <rPr>
        <rFont val="Arial"/>
        <color theme="1"/>
        <sz val="10.0"/>
      </rPr>
      <t>SuguDesk</t>
    </r>
    <r>
      <rPr>
        <rFont val="Noto Sans CJK SC"/>
        <color theme="1"/>
        <sz val="10.0"/>
      </rPr>
      <t>院数上限</t>
    </r>
  </si>
  <si>
    <t>【エンジニア人員計画（人数）】</t>
  </si>
  <si>
    <t>エンジニア</t>
  </si>
  <si>
    <r>
      <rPr>
        <rFont val="Arial"/>
        <color theme="1"/>
        <sz val="10.0"/>
      </rPr>
      <t>Phase1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M1-M6</t>
    </r>
    <r>
      <rPr>
        <rFont val="Noto Sans CJK SC"/>
        <color theme="1"/>
        <sz val="10.0"/>
      </rPr>
      <t>）</t>
    </r>
  </si>
  <si>
    <t>直接入力</t>
  </si>
  <si>
    <r>
      <rPr>
        <rFont val="Arial"/>
        <color theme="1"/>
        <sz val="10.0"/>
      </rPr>
      <t>Phase2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M7-M12</t>
    </r>
    <r>
      <rPr>
        <rFont val="Noto Sans CJK SC"/>
        <color theme="1"/>
        <sz val="10.0"/>
      </rPr>
      <t>）</t>
    </r>
  </si>
  <si>
    <r>
      <rPr>
        <rFont val="Arial"/>
        <color theme="1"/>
        <sz val="10.0"/>
      </rPr>
      <t>Phase3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M13-M18</t>
    </r>
    <r>
      <rPr>
        <rFont val="Noto Sans CJK SC"/>
        <color theme="1"/>
        <sz val="10.0"/>
      </rPr>
      <t>）</t>
    </r>
  </si>
  <si>
    <r>
      <rPr>
        <rFont val="Arial"/>
        <color theme="1"/>
        <sz val="10.0"/>
      </rPr>
      <t>Phase4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M19-M24</t>
    </r>
    <r>
      <rPr>
        <rFont val="Noto Sans CJK SC"/>
        <color theme="1"/>
        <sz val="10.0"/>
      </rPr>
      <t>）</t>
    </r>
  </si>
  <si>
    <r>
      <rPr>
        <rFont val="Arial"/>
        <color theme="1"/>
        <sz val="10.0"/>
      </rPr>
      <t>Phase5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M25-M36</t>
    </r>
    <r>
      <rPr>
        <rFont val="Noto Sans CJK SC"/>
        <color theme="1"/>
        <sz val="10.0"/>
      </rPr>
      <t>）</t>
    </r>
  </si>
  <si>
    <r>
      <rPr>
        <rFont val="Arial"/>
        <color theme="1"/>
        <sz val="10.0"/>
      </rPr>
      <t>Phase6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M37-M48</t>
    </r>
    <r>
      <rPr>
        <rFont val="Noto Sans CJK SC"/>
        <color theme="1"/>
        <sz val="10.0"/>
      </rPr>
      <t>）</t>
    </r>
  </si>
  <si>
    <r>
      <rPr>
        <rFont val="Arial"/>
        <color theme="1"/>
        <sz val="10.0"/>
      </rPr>
      <t>Phase7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M49-M60</t>
    </r>
    <r>
      <rPr>
        <rFont val="Noto Sans CJK SC"/>
        <color theme="1"/>
        <sz val="10.0"/>
      </rPr>
      <t>）</t>
    </r>
  </si>
  <si>
    <r>
      <rPr>
        <rFont val="Noto Sans CJK SC"/>
        <b/>
        <color theme="1"/>
        <sz val="10.0"/>
      </rPr>
      <t>【</t>
    </r>
    <r>
      <rPr>
        <rFont val="Noto Sans"/>
        <b/>
        <color theme="1"/>
        <sz val="10.0"/>
      </rPr>
      <t>BPO</t>
    </r>
    <r>
      <rPr>
        <rFont val="Noto Sans CJK SC"/>
        <b/>
        <color theme="1"/>
        <sz val="10.0"/>
      </rPr>
      <t>人員計画（人数）】</t>
    </r>
  </si>
  <si>
    <t>事務長</t>
  </si>
  <si>
    <t>オペレーター</t>
  </si>
  <si>
    <r>
      <rPr>
        <rFont val="Arial"/>
        <color theme="1"/>
        <sz val="10.0"/>
      </rPr>
      <t>Phase1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M1-M6</t>
    </r>
    <r>
      <rPr>
        <rFont val="Noto Sans CJK SC"/>
        <color theme="1"/>
        <sz val="10.0"/>
      </rPr>
      <t>）</t>
    </r>
  </si>
  <si>
    <r>
      <rPr>
        <rFont val="Arial"/>
        <color theme="1"/>
        <sz val="10.0"/>
      </rPr>
      <t>Phase2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M7-M12</t>
    </r>
    <r>
      <rPr>
        <rFont val="Noto Sans CJK SC"/>
        <color theme="1"/>
        <sz val="10.0"/>
      </rPr>
      <t>）</t>
    </r>
  </si>
  <si>
    <r>
      <rPr>
        <rFont val="Arial"/>
        <color theme="1"/>
        <sz val="10.0"/>
      </rPr>
      <t>Phase3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M13-M18</t>
    </r>
    <r>
      <rPr>
        <rFont val="Noto Sans CJK SC"/>
        <color theme="1"/>
        <sz val="10.0"/>
      </rPr>
      <t>）</t>
    </r>
  </si>
  <si>
    <r>
      <rPr>
        <rFont val="Arial"/>
        <color theme="1"/>
        <sz val="10.0"/>
      </rPr>
      <t>Phase4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M19-M24</t>
    </r>
    <r>
      <rPr>
        <rFont val="Noto Sans CJK SC"/>
        <color theme="1"/>
        <sz val="10.0"/>
      </rPr>
      <t>）</t>
    </r>
  </si>
  <si>
    <r>
      <rPr>
        <rFont val="Arial"/>
        <color theme="1"/>
        <sz val="10.0"/>
      </rPr>
      <t>Phase5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M25-M36</t>
    </r>
    <r>
      <rPr>
        <rFont val="Noto Sans CJK SC"/>
        <color theme="1"/>
        <sz val="10.0"/>
      </rPr>
      <t>）</t>
    </r>
  </si>
  <si>
    <r>
      <rPr>
        <rFont val="Arial"/>
        <color theme="1"/>
        <sz val="10.0"/>
      </rPr>
      <t>Phase6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M37-M48</t>
    </r>
    <r>
      <rPr>
        <rFont val="Noto Sans CJK SC"/>
        <color theme="1"/>
        <sz val="10.0"/>
      </rPr>
      <t>）</t>
    </r>
  </si>
  <si>
    <r>
      <rPr>
        <rFont val="Arial"/>
        <color theme="1"/>
        <sz val="10.0"/>
      </rPr>
      <t>Phase7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M49-M60</t>
    </r>
    <r>
      <rPr>
        <rFont val="Noto Sans CJK SC"/>
        <color theme="1"/>
        <sz val="10.0"/>
      </rPr>
      <t>）</t>
    </r>
  </si>
  <si>
    <t>【営業サポート人員計画（人数）】</t>
  </si>
  <si>
    <r>
      <rPr>
        <rFont val="Arial"/>
        <color theme="1"/>
        <sz val="10.0"/>
      </rPr>
      <t>Phase1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M1-M6</t>
    </r>
    <r>
      <rPr>
        <rFont val="Noto Sans CJK SC"/>
        <color theme="1"/>
        <sz val="10.0"/>
      </rPr>
      <t>）</t>
    </r>
  </si>
  <si>
    <r>
      <rPr>
        <rFont val="Arial"/>
        <color theme="1"/>
        <sz val="10.0"/>
      </rPr>
      <t>Phase2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M7-M12</t>
    </r>
    <r>
      <rPr>
        <rFont val="Noto Sans CJK SC"/>
        <color theme="1"/>
        <sz val="10.0"/>
      </rPr>
      <t>）</t>
    </r>
  </si>
  <si>
    <r>
      <rPr>
        <rFont val="Arial"/>
        <color theme="1"/>
        <sz val="10.0"/>
      </rPr>
      <t>Phase3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M13-M18</t>
    </r>
    <r>
      <rPr>
        <rFont val="Noto Sans CJK SC"/>
        <color theme="1"/>
        <sz val="10.0"/>
      </rPr>
      <t>）</t>
    </r>
  </si>
  <si>
    <r>
      <rPr>
        <rFont val="Arial"/>
        <color theme="1"/>
        <sz val="10.0"/>
      </rPr>
      <t>Phase4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M19-M24</t>
    </r>
    <r>
      <rPr>
        <rFont val="Noto Sans CJK SC"/>
        <color theme="1"/>
        <sz val="10.0"/>
      </rPr>
      <t>）</t>
    </r>
  </si>
  <si>
    <r>
      <rPr>
        <rFont val="Arial"/>
        <color theme="1"/>
        <sz val="10.0"/>
      </rPr>
      <t>Phase5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M25-M36</t>
    </r>
    <r>
      <rPr>
        <rFont val="Noto Sans CJK SC"/>
        <color theme="1"/>
        <sz val="10.0"/>
      </rPr>
      <t>）</t>
    </r>
  </si>
  <si>
    <r>
      <rPr>
        <rFont val="Arial"/>
        <color theme="1"/>
        <sz val="10.0"/>
      </rPr>
      <t>Phase6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M37-M48</t>
    </r>
    <r>
      <rPr>
        <rFont val="Noto Sans CJK SC"/>
        <color theme="1"/>
        <sz val="10.0"/>
      </rPr>
      <t>）</t>
    </r>
  </si>
  <si>
    <r>
      <rPr>
        <rFont val="Arial"/>
        <color theme="1"/>
        <sz val="10.0"/>
      </rPr>
      <t>Phase7</t>
    </r>
    <r>
      <rPr>
        <rFont val="Noto Sans CJK SC"/>
        <color theme="1"/>
        <sz val="10.0"/>
      </rPr>
      <t>（</t>
    </r>
    <r>
      <rPr>
        <rFont val="Arial"/>
        <color theme="1"/>
        <sz val="10.0"/>
      </rPr>
      <t>M49-M60</t>
    </r>
    <r>
      <rPr>
        <rFont val="Noto Sans CJK SC"/>
        <color theme="1"/>
        <sz val="10.0"/>
      </rPr>
      <t>）</t>
    </r>
  </si>
  <si>
    <t>【資本政策前提】</t>
  </si>
  <si>
    <t>設立時株数</t>
  </si>
  <si>
    <t>設立時資本金</t>
  </si>
  <si>
    <r>
      <rPr>
        <rFont val="Arial"/>
        <color rgb="FF888888"/>
        <sz val="9.0"/>
      </rPr>
      <t>1</t>
    </r>
    <r>
      <rPr>
        <rFont val="Noto Sans CJK SC"/>
        <color rgb="FF888888"/>
        <sz val="9.0"/>
      </rPr>
      <t>株</t>
    </r>
    <r>
      <rPr>
        <rFont val="Arial"/>
        <color rgb="FF888888"/>
        <sz val="9.0"/>
      </rPr>
      <t>1</t>
    </r>
    <r>
      <rPr>
        <rFont val="Noto Sans CJK SC"/>
        <color rgb="FF888888"/>
        <sz val="9.0"/>
      </rPr>
      <t>円</t>
    </r>
  </si>
  <si>
    <t>シードプレバリュー</t>
  </si>
  <si>
    <r>
      <rPr>
        <rFont val="Arial"/>
        <color rgb="FF888888"/>
        <sz val="9.0"/>
      </rPr>
      <t>1.7</t>
    </r>
    <r>
      <rPr>
        <rFont val="Noto Sans CJK SC"/>
        <color rgb="FF888888"/>
        <sz val="9.0"/>
      </rPr>
      <t>億</t>
    </r>
  </si>
  <si>
    <r>
      <rPr>
        <rFont val="Arial"/>
        <color theme="1"/>
        <sz val="10.0"/>
      </rPr>
      <t>VC</t>
    </r>
    <r>
      <rPr>
        <rFont val="Noto Sans CJK SC"/>
        <color theme="1"/>
        <sz val="10.0"/>
      </rPr>
      <t>出資額（</t>
    </r>
    <r>
      <rPr>
        <rFont val="Arial"/>
        <color theme="1"/>
        <sz val="10.0"/>
      </rPr>
      <t>Oikaze</t>
    </r>
    <r>
      <rPr>
        <rFont val="Noto Sans CJK SC"/>
        <color theme="1"/>
        <sz val="10.0"/>
      </rPr>
      <t>）</t>
    </r>
  </si>
  <si>
    <t>佐藤さん出資額</t>
  </si>
  <si>
    <t>洋介さん出資額</t>
  </si>
  <si>
    <t>デッド</t>
  </si>
  <si>
    <t>公庫金利（年率）</t>
  </si>
  <si>
    <t>公庫据置期間（月）</t>
  </si>
  <si>
    <t>公庫返済期間（月）</t>
  </si>
  <si>
    <r>
      <rPr>
        <rFont val="Arial"/>
        <color theme="1"/>
        <sz val="10.0"/>
      </rPr>
      <t>Series A</t>
    </r>
    <r>
      <rPr>
        <rFont val="Noto Sans CJK SC"/>
        <color theme="1"/>
        <sz val="10.0"/>
      </rPr>
      <t>プレバリュー</t>
    </r>
  </si>
  <si>
    <r>
      <rPr>
        <rFont val="Arial"/>
        <color theme="1"/>
        <sz val="10.0"/>
      </rPr>
      <t>Series A</t>
    </r>
    <r>
      <rPr>
        <rFont val="Noto Sans CJK SC"/>
        <color theme="1"/>
        <sz val="10.0"/>
      </rPr>
      <t>調達額</t>
    </r>
  </si>
  <si>
    <r>
      <rPr>
        <rFont val="Arial"/>
        <color theme="1"/>
        <sz val="10.0"/>
      </rPr>
      <t>SOP</t>
    </r>
    <r>
      <rPr>
        <rFont val="Noto Sans CJK SC"/>
        <color theme="1"/>
        <sz val="10.0"/>
      </rPr>
      <t>プール比率</t>
    </r>
  </si>
  <si>
    <r>
      <rPr>
        <rFont val="Arial"/>
        <color theme="1"/>
        <sz val="10.0"/>
      </rPr>
      <t>Series A</t>
    </r>
    <r>
      <rPr>
        <rFont val="Noto Sans CJK SC"/>
        <color theme="1"/>
        <sz val="10.0"/>
      </rPr>
      <t>調達月</t>
    </r>
  </si>
  <si>
    <r>
      <rPr>
        <rFont val="Noto Sans CJK SC"/>
        <b/>
        <color theme="1"/>
        <sz val="13.0"/>
      </rPr>
      <t>月次事業計画（</t>
    </r>
    <r>
      <rPr>
        <rFont val="Arial"/>
        <b/>
        <color theme="1"/>
        <sz val="13.0"/>
      </rPr>
      <t>5</t>
    </r>
    <r>
      <rPr>
        <rFont val="Noto Sans CJK SC"/>
        <b/>
        <color theme="1"/>
        <sz val="13.0"/>
      </rPr>
      <t>年）</t>
    </r>
  </si>
  <si>
    <t>フェーズ</t>
  </si>
  <si>
    <t>月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</si>
  <si>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</si>
  <si>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</si>
  <si>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</si>
  <si>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</si>
  <si>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</si>
  <si>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</si>
  <si>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</si>
  <si>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</si>
  <si>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</si>
  <si>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</si>
  <si>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</si>
  <si>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</si>
  <si>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</si>
  <si>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</si>
  <si>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</si>
  <si>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</si>
  <si>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</si>
  <si>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</si>
  <si>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</si>
  <si>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</si>
  <si>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</si>
  <si>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</si>
  <si>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</si>
  <si>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</si>
  <si>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</si>
  <si>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</si>
  <si>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</si>
  <si>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</si>
  <si>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</si>
  <si>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</si>
  <si>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</si>
  <si>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</si>
  <si>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</si>
  <si>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</si>
  <si>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</si>
  <si>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</si>
  <si>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</si>
  <si>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</si>
  <si>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</si>
  <si>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</si>
  <si>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</si>
  <si>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</si>
  <si>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</si>
  <si>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</si>
  <si>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</si>
  <si>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</si>
  <si>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</si>
  <si>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</si>
  <si>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</si>
  <si>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</si>
  <si>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</si>
  <si>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</si>
  <si>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</si>
  <si>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</si>
  <si>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</si>
  <si>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</si>
  <si>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</si>
  <si>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</si>
  <si>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</si>
  <si>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</si>
  <si>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【営業活動】</t>
  </si>
  <si>
    <r>
      <rPr>
        <rFont val="Noto Sans CJK SC"/>
        <color theme="1"/>
        <sz val="10.0"/>
      </rPr>
      <t>月間新規</t>
    </r>
    <r>
      <rPr>
        <rFont val="Noto Sans"/>
        <color theme="1"/>
        <sz val="10.0"/>
      </rPr>
      <t>SuguDesk</t>
    </r>
    <r>
      <rPr>
        <rFont val="Noto Sans CJK SC"/>
        <color theme="1"/>
        <sz val="10.0"/>
      </rPr>
      <t>契約数</t>
    </r>
  </si>
  <si>
    <t>【顧客数】</t>
  </si>
  <si>
    <r>
      <rPr>
        <rFont val="Arial"/>
        <color theme="1"/>
        <sz val="10.0"/>
      </rPr>
      <t>SuguDesk</t>
    </r>
    <r>
      <rPr>
        <rFont val="Noto Sans CJK SC"/>
        <color theme="1"/>
        <sz val="10.0"/>
      </rPr>
      <t>期首顧客数</t>
    </r>
  </si>
  <si>
    <r>
      <rPr>
        <rFont val="Arial"/>
        <color theme="1"/>
        <sz val="10.0"/>
      </rPr>
      <t>SuguDesk</t>
    </r>
    <r>
      <rPr>
        <rFont val="Noto Sans CJK SC"/>
        <color theme="1"/>
        <sz val="10.0"/>
      </rPr>
      <t>解約数</t>
    </r>
  </si>
  <si>
    <r>
      <rPr>
        <rFont val="Arial"/>
        <b/>
        <color theme="1"/>
        <sz val="10.0"/>
      </rPr>
      <t>SuguDesk</t>
    </r>
    <r>
      <rPr>
        <rFont val="Noto Sans CJK SC"/>
        <b/>
        <color theme="1"/>
        <sz val="10.0"/>
      </rPr>
      <t>期末顧客数</t>
    </r>
  </si>
  <si>
    <r>
      <rPr>
        <rFont val="Arial"/>
        <color theme="1"/>
        <sz val="10.0"/>
      </rPr>
      <t>BPO</t>
    </r>
    <r>
      <rPr>
        <rFont val="Noto Sans CJK SC"/>
        <color theme="1"/>
        <sz val="10.0"/>
      </rPr>
      <t>新規転換数</t>
    </r>
  </si>
  <si>
    <r>
      <rPr>
        <rFont val="Arial"/>
        <color theme="1"/>
        <sz val="10.0"/>
      </rPr>
      <t>BPO</t>
    </r>
    <r>
      <rPr>
        <rFont val="Noto Sans CJK SC"/>
        <color theme="1"/>
        <sz val="10.0"/>
      </rPr>
      <t>解約数</t>
    </r>
  </si>
  <si>
    <r>
      <rPr>
        <rFont val="Arial"/>
        <color theme="1"/>
        <sz val="10.0"/>
      </rPr>
      <t>BPO</t>
    </r>
    <r>
      <rPr>
        <rFont val="Noto Sans CJK SC"/>
        <color theme="1"/>
        <sz val="10.0"/>
      </rPr>
      <t>期首顧客数</t>
    </r>
  </si>
  <si>
    <r>
      <rPr>
        <rFont val="Arial"/>
        <b/>
        <color theme="1"/>
        <sz val="10.0"/>
      </rPr>
      <t>BPO</t>
    </r>
    <r>
      <rPr>
        <rFont val="Noto Sans CJK SC"/>
        <b/>
        <color theme="1"/>
        <sz val="10.0"/>
      </rPr>
      <t>期末顧客数</t>
    </r>
  </si>
  <si>
    <t>【売上】</t>
  </si>
  <si>
    <r>
      <rPr>
        <rFont val="Arial"/>
        <color theme="1"/>
        <sz val="10.0"/>
      </rPr>
      <t>SuguDesk</t>
    </r>
    <r>
      <rPr>
        <rFont val="Noto Sans CJK SC"/>
        <color theme="1"/>
        <sz val="10.0"/>
      </rPr>
      <t>月額売上</t>
    </r>
  </si>
  <si>
    <r>
      <rPr>
        <rFont val="Arial"/>
        <color theme="1"/>
        <sz val="10.0"/>
      </rPr>
      <t>BPO</t>
    </r>
    <r>
      <rPr>
        <rFont val="Noto Sans CJK SC"/>
        <color theme="1"/>
        <sz val="10.0"/>
      </rPr>
      <t>事務長代行売上</t>
    </r>
  </si>
  <si>
    <r>
      <rPr>
        <rFont val="Arial"/>
        <color theme="1"/>
        <sz val="10.0"/>
      </rPr>
      <t>BPO</t>
    </r>
    <r>
      <rPr>
        <rFont val="Noto Sans CJK SC"/>
        <color theme="1"/>
        <sz val="10.0"/>
      </rPr>
      <t>採用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集患売上</t>
    </r>
  </si>
  <si>
    <t>導入費用</t>
  </si>
  <si>
    <t>MRR</t>
  </si>
  <si>
    <t>売上合計</t>
  </si>
  <si>
    <t>【コスト】</t>
  </si>
  <si>
    <r>
      <rPr>
        <rFont val="Arial"/>
        <color theme="1"/>
        <sz val="10.0"/>
      </rPr>
      <t>CEO</t>
    </r>
    <r>
      <rPr>
        <rFont val="Noto Sans CJK SC"/>
        <color theme="1"/>
        <sz val="10.0"/>
      </rPr>
      <t>報酬</t>
    </r>
  </si>
  <si>
    <r>
      <rPr>
        <rFont val="Arial"/>
        <color theme="1"/>
        <sz val="10.0"/>
      </rPr>
      <t>CS</t>
    </r>
    <r>
      <rPr>
        <rFont val="Noto Sans CJK SC"/>
        <color theme="1"/>
        <sz val="10.0"/>
      </rPr>
      <t>人件費</t>
    </r>
  </si>
  <si>
    <t>営業サポート</t>
  </si>
  <si>
    <r>
      <rPr>
        <rFont val="Arial"/>
        <color theme="1"/>
        <sz val="10.0"/>
      </rPr>
      <t>BPO</t>
    </r>
    <r>
      <rPr>
        <rFont val="Noto Sans CJK SC"/>
        <color theme="1"/>
        <sz val="10.0"/>
      </rPr>
      <t>事務長</t>
    </r>
  </si>
  <si>
    <r>
      <rPr>
        <rFont val="Arial"/>
        <color theme="1"/>
        <sz val="10.0"/>
      </rPr>
      <t>BPO</t>
    </r>
    <r>
      <rPr>
        <rFont val="Noto Sans CJK SC"/>
        <color theme="1"/>
        <sz val="10.0"/>
      </rPr>
      <t>オペレーター</t>
    </r>
  </si>
  <si>
    <r>
      <rPr>
        <rFont val="Arial"/>
        <color theme="1"/>
        <sz val="10.0"/>
      </rPr>
      <t>LLM API</t>
    </r>
    <r>
      <rPr>
        <rFont val="Noto Sans CJK SC"/>
        <color theme="1"/>
        <sz val="10.0"/>
      </rPr>
      <t>変動費</t>
    </r>
  </si>
  <si>
    <r>
      <rPr>
        <rFont val="Noto Sans CJK SC"/>
        <color theme="1"/>
        <sz val="10.0"/>
      </rPr>
      <t>インフラ（</t>
    </r>
    <r>
      <rPr>
        <rFont val="Noto Sans"/>
        <color theme="1"/>
        <sz val="10.0"/>
      </rPr>
      <t>Cloud SQL+Run</t>
    </r>
    <r>
      <rPr>
        <rFont val="Noto Sans CJK SC"/>
        <color theme="1"/>
        <sz val="10.0"/>
      </rPr>
      <t>）</t>
    </r>
  </si>
  <si>
    <r>
      <rPr>
        <rFont val="Noto Sans CJK SC"/>
        <color theme="1"/>
        <sz val="10.0"/>
      </rPr>
      <t>営業</t>
    </r>
    <r>
      <rPr>
        <rFont val="Noto Sans"/>
        <color theme="1"/>
        <sz val="10.0"/>
      </rPr>
      <t>/GTM</t>
    </r>
  </si>
  <si>
    <t>コスト合計</t>
  </si>
  <si>
    <t>【損益】</t>
  </si>
  <si>
    <t>営業利益</t>
  </si>
  <si>
    <t>営業利益率</t>
  </si>
  <si>
    <t>累積損益</t>
  </si>
  <si>
    <r>
      <rPr>
        <rFont val="Arial"/>
        <color theme="1"/>
        <sz val="10.0"/>
      </rPr>
      <t>MRR</t>
    </r>
    <r>
      <rPr>
        <rFont val="Noto Sans CJK SC"/>
        <color theme="1"/>
        <sz val="10.0"/>
      </rPr>
      <t>ベース損益</t>
    </r>
  </si>
  <si>
    <t>【キャッシュフロー】</t>
  </si>
  <si>
    <t>調達資金</t>
  </si>
  <si>
    <r>
      <rPr>
        <rFont val="Arial"/>
        <color theme="1"/>
        <sz val="10.0"/>
      </rPr>
      <t>Series A</t>
    </r>
    <r>
      <rPr>
        <rFont val="Noto Sans CJK SC"/>
        <color theme="1"/>
        <sz val="10.0"/>
      </rPr>
      <t>入金</t>
    </r>
  </si>
  <si>
    <t>公庫利息</t>
  </si>
  <si>
    <t>キャッシュ残高</t>
  </si>
  <si>
    <t>ランウェイ（月）</t>
  </si>
  <si>
    <t>【人員数】</t>
  </si>
  <si>
    <t>CEO</t>
  </si>
  <si>
    <t>エンジニア（換算）</t>
  </si>
  <si>
    <r>
      <rPr>
        <rFont val="Arial"/>
        <color theme="1"/>
        <sz val="10.0"/>
      </rPr>
      <t>CS</t>
    </r>
    <r>
      <rPr>
        <rFont val="Noto Sans CJK SC"/>
        <color theme="1"/>
        <sz val="10.0"/>
      </rPr>
      <t>人数</t>
    </r>
  </si>
  <si>
    <r>
      <rPr>
        <rFont val="Arial"/>
        <color theme="1"/>
        <sz val="10.0"/>
      </rPr>
      <t>BPO</t>
    </r>
    <r>
      <rPr>
        <rFont val="Noto Sans CJK SC"/>
        <color theme="1"/>
        <sz val="10.0"/>
      </rPr>
      <t>事務長</t>
    </r>
  </si>
  <si>
    <r>
      <rPr>
        <rFont val="Arial"/>
        <color theme="1"/>
        <sz val="10.0"/>
      </rPr>
      <t>BPO</t>
    </r>
    <r>
      <rPr>
        <rFont val="Noto Sans CJK SC"/>
        <color theme="1"/>
        <sz val="10.0"/>
      </rPr>
      <t>オペレーター</t>
    </r>
  </si>
  <si>
    <t>合計</t>
  </si>
  <si>
    <r>
      <rPr>
        <rFont val="Noto Sans CJK SC"/>
        <b/>
        <color theme="1"/>
        <sz val="13.0"/>
      </rPr>
      <t>年次事業計画（</t>
    </r>
    <r>
      <rPr>
        <rFont val="Arial"/>
        <b/>
        <color theme="1"/>
        <sz val="13.0"/>
      </rPr>
      <t>5</t>
    </r>
    <r>
      <rPr>
        <rFont val="Noto Sans CJK SC"/>
        <b/>
        <color theme="1"/>
        <sz val="13.0"/>
      </rPr>
      <t>年）</t>
    </r>
  </si>
  <si>
    <r>
      <rPr>
        <rFont val="Arial"/>
        <b/>
        <color theme="1"/>
        <sz val="10.0"/>
      </rPr>
      <t>1</t>
    </r>
    <r>
      <rPr>
        <rFont val="Noto Sans CJK SC"/>
        <b/>
        <color theme="1"/>
        <sz val="10.0"/>
      </rPr>
      <t>年目</t>
    </r>
  </si>
  <si>
    <r>
      <rPr>
        <rFont val="Arial"/>
        <b/>
        <color theme="1"/>
        <sz val="10.0"/>
      </rPr>
      <t>2</t>
    </r>
    <r>
      <rPr>
        <rFont val="Noto Sans CJK SC"/>
        <b/>
        <color theme="1"/>
        <sz val="10.0"/>
      </rPr>
      <t>年目</t>
    </r>
  </si>
  <si>
    <r>
      <rPr>
        <rFont val="Arial"/>
        <b/>
        <color theme="1"/>
        <sz val="10.0"/>
      </rPr>
      <t>3</t>
    </r>
    <r>
      <rPr>
        <rFont val="Noto Sans CJK SC"/>
        <b/>
        <color theme="1"/>
        <sz val="10.0"/>
      </rPr>
      <t>年目</t>
    </r>
  </si>
  <si>
    <r>
      <rPr>
        <rFont val="Arial"/>
        <b/>
        <color theme="1"/>
        <sz val="10.0"/>
      </rPr>
      <t>4</t>
    </r>
    <r>
      <rPr>
        <rFont val="Noto Sans CJK SC"/>
        <b/>
        <color theme="1"/>
        <sz val="10.0"/>
      </rPr>
      <t>年目</t>
    </r>
  </si>
  <si>
    <r>
      <rPr>
        <rFont val="Arial"/>
        <b/>
        <color theme="1"/>
        <sz val="10.0"/>
      </rPr>
      <t>5</t>
    </r>
    <r>
      <rPr>
        <rFont val="Noto Sans CJK SC"/>
        <b/>
        <color theme="1"/>
        <sz val="10.0"/>
      </rPr>
      <t>年目</t>
    </r>
  </si>
  <si>
    <r>
      <rPr>
        <rFont val="Arial"/>
        <b/>
        <color theme="1"/>
        <sz val="10.0"/>
      </rPr>
      <t>SuguDesk</t>
    </r>
    <r>
      <rPr>
        <rFont val="Noto Sans CJK SC"/>
        <b/>
        <color theme="1"/>
        <sz val="10.0"/>
      </rPr>
      <t>期末院数</t>
    </r>
  </si>
  <si>
    <r>
      <rPr>
        <rFont val="Arial"/>
        <b/>
        <color theme="1"/>
        <sz val="10.0"/>
      </rPr>
      <t>BPO</t>
    </r>
    <r>
      <rPr>
        <rFont val="Noto Sans CJK SC"/>
        <b/>
        <color theme="1"/>
        <sz val="10.0"/>
      </rPr>
      <t>期末院数</t>
    </r>
  </si>
  <si>
    <r>
      <rPr>
        <rFont val="Arial"/>
        <b/>
        <color theme="1"/>
        <sz val="10.0"/>
      </rPr>
      <t>MRR</t>
    </r>
    <r>
      <rPr>
        <rFont val="Noto Sans CJK SC"/>
        <b/>
        <color theme="1"/>
        <sz val="10.0"/>
      </rPr>
      <t>（期末）</t>
    </r>
  </si>
  <si>
    <r>
      <rPr>
        <rFont val="Arial"/>
        <b/>
        <color theme="1"/>
        <sz val="10.0"/>
      </rPr>
      <t>ARR</t>
    </r>
    <r>
      <rPr>
        <rFont val="Noto Sans CJK SC"/>
        <b/>
        <color theme="1"/>
        <sz val="10.0"/>
      </rPr>
      <t>（期末）</t>
    </r>
  </si>
  <si>
    <t>年間売上合計</t>
  </si>
  <si>
    <t>年間コスト合計</t>
  </si>
  <si>
    <t>年間営業利益</t>
  </si>
  <si>
    <t>期末キャッシュ残高</t>
  </si>
  <si>
    <t>期末人員合計</t>
  </si>
  <si>
    <t>資本政策表</t>
  </si>
  <si>
    <t>設立</t>
  </si>
  <si>
    <t>シード</t>
  </si>
  <si>
    <t>Series A</t>
  </si>
  <si>
    <t>プレバリュー</t>
  </si>
  <si>
    <t>エクイティ調達額</t>
  </si>
  <si>
    <t>デット（公庫）</t>
  </si>
  <si>
    <t>ポストバリュー</t>
  </si>
  <si>
    <t>【株式数】</t>
  </si>
  <si>
    <t>シード株価</t>
  </si>
  <si>
    <r>
      <rPr>
        <rFont val="Arial"/>
        <color theme="1"/>
        <sz val="10.0"/>
      </rPr>
      <t>VC</t>
    </r>
    <r>
      <rPr>
        <rFont val="Noto Sans CJK SC"/>
        <color theme="1"/>
        <sz val="10.0"/>
      </rPr>
      <t>新規株数</t>
    </r>
  </si>
  <si>
    <t>佐藤さん株数</t>
  </si>
  <si>
    <t>洋介さん株数</t>
  </si>
  <si>
    <t>シード後 発行済株数</t>
  </si>
  <si>
    <r>
      <rPr>
        <rFont val="Arial"/>
        <color theme="1"/>
        <sz val="10.0"/>
      </rPr>
      <t>Series A</t>
    </r>
    <r>
      <rPr>
        <rFont val="Noto Sans CJK SC"/>
        <color theme="1"/>
        <sz val="10.0"/>
      </rPr>
      <t>株価</t>
    </r>
  </si>
  <si>
    <r>
      <rPr>
        <rFont val="Arial"/>
        <color theme="1"/>
        <sz val="10.0"/>
      </rPr>
      <t>Series A</t>
    </r>
    <r>
      <rPr>
        <rFont val="Noto Sans CJK SC"/>
        <color theme="1"/>
        <sz val="10.0"/>
      </rPr>
      <t>新規株数</t>
    </r>
  </si>
  <si>
    <r>
      <rPr>
        <rFont val="Arial"/>
        <color theme="1"/>
        <sz val="10.0"/>
      </rPr>
      <t>SOP</t>
    </r>
    <r>
      <rPr>
        <rFont val="Noto Sans CJK SC"/>
        <color theme="1"/>
        <sz val="10.0"/>
      </rPr>
      <t>プール株数</t>
    </r>
  </si>
  <si>
    <r>
      <rPr>
        <rFont val="Arial"/>
        <b/>
        <color theme="1"/>
        <sz val="10.0"/>
      </rPr>
      <t>Series A</t>
    </r>
    <r>
      <rPr>
        <rFont val="Noto Sans CJK SC"/>
        <b/>
        <color theme="1"/>
        <sz val="10.0"/>
      </rPr>
      <t>後 発行済株数</t>
    </r>
  </si>
  <si>
    <r>
      <rPr>
        <rFont val="Noto Sans CJK SC"/>
        <b/>
        <color theme="1"/>
        <sz val="10.0"/>
      </rPr>
      <t>【</t>
    </r>
    <r>
      <rPr>
        <rFont val="Noto Sans"/>
        <b/>
        <color theme="1"/>
        <sz val="10.0"/>
      </rPr>
      <t xml:space="preserve">Cap Table </t>
    </r>
    <r>
      <rPr>
        <rFont val="Noto Sans CJK SC"/>
        <b/>
        <color theme="1"/>
        <sz val="10.0"/>
      </rPr>
      <t>持分比率】</t>
    </r>
  </si>
  <si>
    <r>
      <rPr>
        <rFont val="Arial"/>
        <color theme="1"/>
        <sz val="10.0"/>
      </rPr>
      <t>Anna</t>
    </r>
    <r>
      <rPr>
        <rFont val="Noto Sans CJK SC"/>
        <color theme="1"/>
        <sz val="10.0"/>
      </rPr>
      <t>（代表）</t>
    </r>
  </si>
  <si>
    <t>Oikaze</t>
  </si>
  <si>
    <t>佐藤さん</t>
  </si>
  <si>
    <t>洋介さん</t>
  </si>
  <si>
    <r>
      <rPr>
        <rFont val="Arial"/>
        <color theme="1"/>
        <sz val="10.0"/>
      </rPr>
      <t>SOP</t>
    </r>
    <r>
      <rPr>
        <rFont val="Noto Sans CJK SC"/>
        <color theme="1"/>
        <sz val="10.0"/>
      </rPr>
      <t>プール</t>
    </r>
  </si>
  <si>
    <r>
      <rPr>
        <rFont val="Arial"/>
        <color theme="1"/>
        <sz val="10.0"/>
      </rPr>
      <t>Series A</t>
    </r>
    <r>
      <rPr>
        <rFont val="Noto Sans CJK SC"/>
        <color theme="1"/>
        <sz val="10.0"/>
      </rPr>
      <t>投資家</t>
    </r>
  </si>
  <si>
    <t>みなし優先に入ってもらうのが</t>
  </si>
  <si>
    <t>シードラウンドの当事者にエンジェルがいる</t>
  </si>
  <si>
    <t>みなし優先に調達します→これで</t>
  </si>
  <si>
    <t>ポスト2億にする株価で分配をする</t>
  </si>
  <si>
    <t>エンジェル2人が300万ぐらいにおさめてくれる</t>
  </si>
  <si>
    <t>投資委員会があって、16日（木）12:00に</t>
  </si>
  <si>
    <t>→ピッチデックと事業計画</t>
  </si>
  <si>
    <t>シードラウンド 資金使途</t>
  </si>
  <si>
    <t>調達額合計</t>
  </si>
  <si>
    <t>項目</t>
  </si>
  <si>
    <r>
      <rPr>
        <rFont val="Arial"/>
        <b/>
        <color rgb="FFFFFFFF"/>
        <sz val="10.0"/>
      </rPr>
      <t>18</t>
    </r>
    <r>
      <rPr>
        <rFont val="Noto Sans CJK SC"/>
        <b/>
        <color rgb="FFFFFFFF"/>
        <sz val="10.0"/>
      </rPr>
      <t>ヶ月合計</t>
    </r>
  </si>
  <si>
    <t>比率</t>
  </si>
  <si>
    <t>備考</t>
  </si>
  <si>
    <r>
      <rPr>
        <rFont val="Arial"/>
        <color theme="1"/>
        <sz val="10.0"/>
      </rPr>
      <t>CEO</t>
    </r>
    <r>
      <rPr>
        <rFont val="Noto Sans CJK SC"/>
        <color theme="1"/>
        <sz val="10.0"/>
      </rPr>
      <t>人件費</t>
    </r>
  </si>
  <si>
    <r>
      <rPr>
        <rFont val="Arial"/>
        <color theme="1"/>
        <sz val="10.0"/>
      </rPr>
      <t>CS</t>
    </r>
    <r>
      <rPr>
        <rFont val="Noto Sans CJK SC"/>
        <color theme="1"/>
        <sz val="10.0"/>
      </rPr>
      <t>人件費</t>
    </r>
  </si>
  <si>
    <t>院数連動</t>
  </si>
  <si>
    <r>
      <rPr>
        <rFont val="Arial"/>
        <color theme="1"/>
        <sz val="10.0"/>
      </rPr>
      <t>BPO</t>
    </r>
    <r>
      <rPr>
        <rFont val="Noto Sans CJK SC"/>
        <color theme="1"/>
        <sz val="10.0"/>
      </rPr>
      <t>事務長</t>
    </r>
  </si>
  <si>
    <r>
      <rPr>
        <rFont val="Arial"/>
        <color theme="1"/>
        <sz val="10.0"/>
      </rPr>
      <t>BPO</t>
    </r>
    <r>
      <rPr>
        <rFont val="Noto Sans CJK SC"/>
        <color theme="1"/>
        <sz val="10.0"/>
      </rPr>
      <t>オペ</t>
    </r>
  </si>
  <si>
    <t>LLM API</t>
  </si>
  <si>
    <r>
      <rPr>
        <rFont val="Arial"/>
        <color rgb="FF888888"/>
        <sz val="9.0"/>
      </rPr>
      <t>Vertex AI</t>
    </r>
    <r>
      <rPr>
        <rFont val="Noto Sans CJK SC"/>
        <color rgb="FF888888"/>
        <sz val="9.0"/>
      </rPr>
      <t>実績ベース</t>
    </r>
  </si>
  <si>
    <t>インフラ</t>
  </si>
  <si>
    <t>Cloud SQL+Run</t>
  </si>
  <si>
    <r>
      <rPr>
        <rFont val="Noto Sans CJK SC"/>
        <color theme="1"/>
        <sz val="10.0"/>
      </rPr>
      <t>営業</t>
    </r>
    <r>
      <rPr>
        <rFont val="Noto Sans"/>
        <color theme="1"/>
        <sz val="10.0"/>
      </rPr>
      <t>/GTM</t>
    </r>
  </si>
  <si>
    <t>その他</t>
  </si>
  <si>
    <t>法務・会計</t>
  </si>
  <si>
    <t>売上における補填</t>
  </si>
  <si>
    <t>予備費</t>
  </si>
  <si>
    <t>【ランウェイ試算】</t>
  </si>
  <si>
    <r>
      <rPr>
        <rFont val="Arial"/>
        <color theme="1"/>
        <sz val="10.0"/>
      </rPr>
      <t>Phase1</t>
    </r>
    <r>
      <rPr>
        <rFont val="Noto Sans CJK SC"/>
        <color theme="1"/>
        <sz val="10.0"/>
      </rPr>
      <t>バーンレート（月平均）</t>
    </r>
  </si>
  <si>
    <r>
      <rPr>
        <rFont val="Arial"/>
        <color theme="1"/>
        <sz val="10.0"/>
      </rPr>
      <t>Phase2</t>
    </r>
    <r>
      <rPr>
        <rFont val="Noto Sans CJK SC"/>
        <color theme="1"/>
        <sz val="10.0"/>
      </rPr>
      <t>バーンレート（月平均）</t>
    </r>
  </si>
  <si>
    <t>ランウェイ（売上ゼロ想定）</t>
  </si>
  <si>
    <r>
      <rPr>
        <rFont val="Arial"/>
        <color theme="1"/>
        <sz val="10.0"/>
      </rPr>
      <t>M12</t>
    </r>
    <r>
      <rPr>
        <rFont val="Noto Sans CJK SC"/>
        <color theme="1"/>
        <sz val="10.0"/>
      </rPr>
      <t>末キャッシュ</t>
    </r>
  </si>
  <si>
    <r>
      <rPr>
        <rFont val="Arial"/>
        <color theme="1"/>
        <sz val="10.0"/>
      </rPr>
      <t>M18</t>
    </r>
    <r>
      <rPr>
        <rFont val="Noto Sans CJK SC"/>
        <color theme="1"/>
        <sz val="10.0"/>
      </rPr>
      <t>末キャッシュ</t>
    </r>
  </si>
  <si>
    <r>
      <rPr>
        <rFont val="Arial"/>
        <color theme="1"/>
        <sz val="10.0"/>
      </rPr>
      <t>M24</t>
    </r>
    <r>
      <rPr>
        <rFont val="Noto Sans CJK SC"/>
        <color theme="1"/>
        <sz val="10.0"/>
      </rPr>
      <t>末キャッシュ</t>
    </r>
  </si>
  <si>
    <r>
      <rPr>
        <rFont val="Arial"/>
        <color theme="1"/>
        <sz val="10.0"/>
      </rPr>
      <t>M36</t>
    </r>
    <r>
      <rPr>
        <rFont val="Noto Sans CJK SC"/>
        <color theme="1"/>
        <sz val="10.0"/>
      </rPr>
      <t>末キャッシュ</t>
    </r>
  </si>
  <si>
    <r>
      <rPr>
        <rFont val="Arial"/>
        <color theme="1"/>
        <sz val="10.0"/>
      </rPr>
      <t>M48</t>
    </r>
    <r>
      <rPr>
        <rFont val="Noto Sans CJK SC"/>
        <color theme="1"/>
        <sz val="10.0"/>
      </rPr>
      <t>末キャッシュ</t>
    </r>
  </si>
  <si>
    <r>
      <rPr>
        <rFont val="Arial"/>
        <color theme="1"/>
        <sz val="10.0"/>
      </rPr>
      <t>M60</t>
    </r>
    <r>
      <rPr>
        <rFont val="Noto Sans CJK SC"/>
        <color theme="1"/>
        <sz val="10.0"/>
      </rPr>
      <t>末キャッシュ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</si>
</sst>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"/>
    <numFmt numFmtId="166" formatCode="#,##0;\(#,##0\);\-"/>
  </numFmts>
  <fonts count="13">
    <font>
      <sz val="11.0"/>
      <color theme="1"/>
      <name val="Calibri"/>
      <scheme val="minor"/>
    </font>
    <font>
      <b/>
      <sz val="13.0"/>
      <color theme="1"/>
      <name val="Arial"/>
    </font>
    <font>
      <b/>
      <sz val="10.0"/>
      <color theme="1"/>
      <name val="Noto Sans"/>
    </font>
    <font>
      <sz val="10.0"/>
      <color theme="1"/>
      <name val="Arial"/>
    </font>
    <font>
      <sz val="10.0"/>
      <color rgb="FF0000FF"/>
      <name val="Arial"/>
    </font>
    <font>
      <sz val="9.0"/>
      <color rgb="FF888888"/>
      <name val="Noto Sans"/>
    </font>
    <font>
      <sz val="9.0"/>
      <color rgb="FF888888"/>
      <name val="Arial"/>
    </font>
    <font>
      <sz val="10.0"/>
      <color theme="1"/>
      <name val="Noto Sans"/>
    </font>
    <font>
      <b/>
      <sz val="13.0"/>
      <color theme="1"/>
      <name val="Noto Sans"/>
    </font>
    <font>
      <b/>
      <sz val="10.0"/>
      <color theme="1"/>
      <name val="Arial"/>
    </font>
    <font>
      <sz val="10.0"/>
      <color theme="1"/>
      <name val="Calibri"/>
      <scheme val="minor"/>
    </font>
    <font>
      <b/>
      <sz val="10.0"/>
      <color rgb="FFFFFFFF"/>
      <name val="Arial"/>
    </font>
    <font>
      <b/>
      <sz val="10.0"/>
      <color rgb="FFFFFFFF"/>
      <name val="Noto Sans"/>
    </font>
  </fonts>
  <fills count="6">
    <fill>
      <patternFill patternType="none"/>
    </fill>
    <fill>
      <patternFill patternType="lightGray"/>
    </fill>
    <fill>
      <patternFill patternType="solid">
        <fgColor rgb="FFD6E4F0"/>
        <bgColor rgb="FFD6E4F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3" fontId="4" numFmtId="3" xfId="0" applyAlignment="1" applyBorder="1" applyFill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3" fontId="4" numFmtId="164" xfId="0" applyAlignment="1" applyBorder="1" applyFont="1" applyNumberFormat="1">
      <alignment shrinkToFit="0" vertical="bottom" wrapText="0"/>
    </xf>
    <xf borderId="1" fillId="3" fontId="4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" fillId="3" fontId="4" numFmtId="165" xfId="0" applyAlignment="1" applyBorder="1" applyFont="1" applyNumberFormat="1">
      <alignment shrinkToFit="0" vertical="bottom" wrapText="0"/>
    </xf>
    <xf borderId="1" fillId="3" fontId="4" numFmtId="165" xfId="0" applyAlignment="1" applyBorder="1" applyFont="1" applyNumberForma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1" fillId="3" fontId="4" numFmtId="3" xfId="0" applyAlignment="1" applyBorder="1" applyFont="1" applyNumberForma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3" xfId="0" applyAlignment="1" applyFont="1" applyNumberFormat="1">
      <alignment shrinkToFit="0" vertical="bottom" wrapText="0"/>
    </xf>
    <xf borderId="1" fillId="4" fontId="2" numFmtId="0" xfId="0" applyAlignment="1" applyBorder="1" applyFill="1" applyFont="1">
      <alignment shrinkToFit="0" vertical="bottom" wrapText="0"/>
    </xf>
    <xf borderId="1" fillId="4" fontId="9" numFmtId="3" xfId="0" applyAlignment="1" applyBorder="1" applyFont="1" applyNumberFormat="1">
      <alignment shrinkToFit="0" vertical="bottom" wrapText="0"/>
    </xf>
    <xf borderId="0" fillId="0" fontId="9" numFmtId="166" xfId="0" applyAlignment="1" applyFont="1" applyNumberForma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1" fillId="4" fontId="9" numFmtId="1" xfId="0" applyAlignment="1" applyBorder="1" applyFont="1" applyNumberFormat="1">
      <alignment shrinkToFit="0" vertical="bottom" wrapText="0"/>
    </xf>
    <xf borderId="1" fillId="4" fontId="9" numFmtId="166" xfId="0" applyAlignment="1" applyBorder="1" applyFont="1" applyNumberFormat="1">
      <alignment shrinkToFit="0" vertical="bottom" wrapText="0"/>
    </xf>
    <xf borderId="0" fillId="0" fontId="9" numFmtId="1" xfId="0" applyAlignment="1" applyFont="1" applyNumberFormat="1">
      <alignment shrinkToFit="0" vertical="bottom" wrapText="0"/>
    </xf>
    <xf borderId="0" fillId="0" fontId="10" numFmtId="0" xfId="0" applyFont="1"/>
    <xf borderId="1" fillId="5" fontId="11" numFmtId="0" xfId="0" applyAlignment="1" applyBorder="1" applyFill="1" applyFont="1">
      <alignment horizontal="center" shrinkToFit="0" vertical="bottom" wrapText="0"/>
    </xf>
    <xf borderId="1" fillId="5" fontId="12" numFmtId="0" xfId="0" applyAlignment="1" applyBorder="1" applyFont="1">
      <alignment horizontal="center" shrinkToFit="0" vertical="bottom" wrapText="0"/>
    </xf>
    <xf borderId="0" fillId="0" fontId="3" numFmtId="2" xfId="0" applyAlignment="1" applyFont="1" applyNumberFormat="1">
      <alignment shrinkToFit="0" vertical="bottom" wrapText="0"/>
    </xf>
    <xf borderId="0" fillId="0" fontId="10" numFmtId="0" xfId="0" applyAlignment="1" applyFont="1">
      <alignment readingOrder="0"/>
    </xf>
    <xf borderId="0" fillId="0" fontId="9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3" width="16.0"/>
    <col customWidth="1" min="4" max="4" width="40.0"/>
    <col customWidth="1" min="5" max="6" width="8.71"/>
  </cols>
  <sheetData>
    <row r="1">
      <c r="A1" s="1" t="s">
        <v>0</v>
      </c>
    </row>
    <row r="3">
      <c r="A3" s="2" t="s">
        <v>1</v>
      </c>
      <c r="B3" s="2"/>
      <c r="C3" s="2"/>
      <c r="D3" s="2"/>
    </row>
    <row r="4">
      <c r="A4" s="3" t="s">
        <v>2</v>
      </c>
      <c r="B4" s="4">
        <v>11500.0</v>
      </c>
      <c r="C4" s="5" t="s">
        <v>3</v>
      </c>
    </row>
    <row r="5">
      <c r="A5" s="3" t="s">
        <v>4</v>
      </c>
      <c r="B5" s="4">
        <v>225000.0</v>
      </c>
      <c r="C5" s="6" t="s">
        <v>5</v>
      </c>
    </row>
    <row r="6">
      <c r="A6" s="3" t="s">
        <v>6</v>
      </c>
      <c r="B6" s="4">
        <v>150000.0</v>
      </c>
      <c r="C6" s="5" t="s">
        <v>7</v>
      </c>
    </row>
    <row r="7">
      <c r="A7" s="3" t="s">
        <v>8</v>
      </c>
      <c r="B7" s="4">
        <v>50000.0</v>
      </c>
      <c r="C7" s="6" t="s">
        <v>9</v>
      </c>
    </row>
    <row r="8">
      <c r="A8" s="3" t="s">
        <v>10</v>
      </c>
      <c r="B8" s="7">
        <v>0.02</v>
      </c>
    </row>
    <row r="9">
      <c r="A9" s="3" t="s">
        <v>11</v>
      </c>
      <c r="B9" s="7">
        <v>0.01</v>
      </c>
      <c r="C9" s="5" t="s">
        <v>12</v>
      </c>
    </row>
    <row r="10">
      <c r="A10" s="3" t="s">
        <v>13</v>
      </c>
      <c r="B10" s="7">
        <v>0.05</v>
      </c>
      <c r="C10" s="6" t="s">
        <v>14</v>
      </c>
    </row>
    <row r="12">
      <c r="A12" s="2" t="s">
        <v>15</v>
      </c>
      <c r="B12" s="2"/>
      <c r="C12" s="2"/>
      <c r="D12" s="2"/>
    </row>
    <row r="13">
      <c r="A13" s="3" t="s">
        <v>16</v>
      </c>
      <c r="B13" s="8">
        <v>2.0</v>
      </c>
      <c r="C13" s="5" t="s">
        <v>17</v>
      </c>
    </row>
    <row r="14">
      <c r="A14" s="3" t="s">
        <v>18</v>
      </c>
      <c r="B14" s="8">
        <v>5.0</v>
      </c>
      <c r="C14" s="6" t="s">
        <v>19</v>
      </c>
    </row>
    <row r="15">
      <c r="A15" s="3" t="s">
        <v>20</v>
      </c>
      <c r="B15" s="8">
        <v>5.0</v>
      </c>
    </row>
    <row r="16">
      <c r="A16" s="3" t="s">
        <v>21</v>
      </c>
      <c r="B16" s="8">
        <v>6.0</v>
      </c>
      <c r="C16" s="6" t="s">
        <v>22</v>
      </c>
    </row>
    <row r="17">
      <c r="A17" s="3" t="s">
        <v>23</v>
      </c>
      <c r="B17" s="8">
        <v>8.0</v>
      </c>
      <c r="C17" s="6" t="s">
        <v>24</v>
      </c>
    </row>
    <row r="18">
      <c r="A18" s="3" t="s">
        <v>25</v>
      </c>
      <c r="B18" s="8">
        <v>10.0</v>
      </c>
      <c r="C18" s="5" t="s">
        <v>26</v>
      </c>
    </row>
    <row r="19">
      <c r="A19" s="3" t="s">
        <v>27</v>
      </c>
      <c r="B19" s="8">
        <v>12.0</v>
      </c>
      <c r="C19" s="5" t="s">
        <v>28</v>
      </c>
    </row>
    <row r="21" ht="15.75" customHeight="1">
      <c r="A21" s="2" t="s">
        <v>29</v>
      </c>
      <c r="B21" s="2"/>
      <c r="C21" s="2"/>
      <c r="D21" s="2"/>
    </row>
    <row r="22" ht="15.75" customHeight="1">
      <c r="A22" s="3" t="s">
        <v>30</v>
      </c>
      <c r="B22" s="4">
        <v>300000.0</v>
      </c>
    </row>
    <row r="23" ht="15.75" customHeight="1">
      <c r="A23" s="9" t="s">
        <v>31</v>
      </c>
      <c r="B23" s="4">
        <v>5000.0</v>
      </c>
      <c r="C23" s="5" t="s">
        <v>32</v>
      </c>
    </row>
    <row r="24" ht="15.75" customHeight="1">
      <c r="A24" s="9" t="s">
        <v>33</v>
      </c>
      <c r="B24" s="10">
        <v>64.5</v>
      </c>
      <c r="C24" s="6" t="s">
        <v>34</v>
      </c>
    </row>
    <row r="25" ht="15.75" customHeight="1">
      <c r="A25" s="9" t="s">
        <v>35</v>
      </c>
      <c r="B25" s="11">
        <v>40.0</v>
      </c>
      <c r="C25" s="5" t="s">
        <v>36</v>
      </c>
    </row>
    <row r="26" ht="15.75" customHeight="1">
      <c r="A26" s="9" t="s">
        <v>37</v>
      </c>
      <c r="B26" s="4">
        <v>700000.0</v>
      </c>
    </row>
    <row r="27" ht="15.75" customHeight="1">
      <c r="A27" s="3" t="s">
        <v>38</v>
      </c>
      <c r="B27" s="4">
        <v>400000.0</v>
      </c>
    </row>
    <row r="28" ht="15.75" customHeight="1">
      <c r="A28" s="3" t="s">
        <v>39</v>
      </c>
      <c r="B28" s="4">
        <v>200000.0</v>
      </c>
    </row>
    <row r="29" ht="15.75" customHeight="1">
      <c r="A29" s="9" t="s">
        <v>40</v>
      </c>
      <c r="B29" s="4">
        <v>200000.0</v>
      </c>
      <c r="C29" s="5" t="s">
        <v>32</v>
      </c>
    </row>
    <row r="30" ht="15.75" customHeight="1">
      <c r="A30" s="3" t="s">
        <v>41</v>
      </c>
      <c r="B30" s="4">
        <v>350000.0</v>
      </c>
      <c r="C30" s="5" t="s">
        <v>32</v>
      </c>
    </row>
    <row r="31" ht="15.75" customHeight="1">
      <c r="A31" s="9" t="s">
        <v>42</v>
      </c>
      <c r="B31" s="4">
        <v>100000.0</v>
      </c>
    </row>
    <row r="32" ht="15.75" customHeight="1">
      <c r="A32" s="9" t="s">
        <v>43</v>
      </c>
      <c r="B32" s="4">
        <v>200000.0</v>
      </c>
      <c r="C32" s="5" t="s">
        <v>44</v>
      </c>
    </row>
    <row r="33" ht="15.75" customHeight="1"/>
    <row r="34" ht="15.75" customHeight="1">
      <c r="A34" s="2" t="s">
        <v>45</v>
      </c>
      <c r="B34" s="2"/>
      <c r="C34" s="2"/>
      <c r="D34" s="2"/>
    </row>
    <row r="35" ht="15.75" customHeight="1">
      <c r="A35" s="3" t="s">
        <v>46</v>
      </c>
      <c r="B35" s="8">
        <v>12.0</v>
      </c>
      <c r="C35" s="6" t="s">
        <v>47</v>
      </c>
    </row>
    <row r="36" ht="15.75" customHeight="1">
      <c r="A36" s="3" t="s">
        <v>48</v>
      </c>
      <c r="B36" s="4">
        <v>8000.0</v>
      </c>
      <c r="C36" s="5" t="s">
        <v>49</v>
      </c>
    </row>
    <row r="37" ht="15.75" customHeight="1">
      <c r="A37" s="3" t="s">
        <v>50</v>
      </c>
      <c r="B37" s="4">
        <v>15000.0</v>
      </c>
      <c r="C37" s="6" t="s">
        <v>51</v>
      </c>
    </row>
    <row r="38" ht="15.75" customHeight="1">
      <c r="A38" s="3" t="s">
        <v>52</v>
      </c>
      <c r="B38" s="4">
        <v>25000.0</v>
      </c>
      <c r="C38" s="6" t="s">
        <v>53</v>
      </c>
    </row>
    <row r="39" ht="15.75" customHeight="1">
      <c r="A39" s="3" t="s">
        <v>54</v>
      </c>
      <c r="B39" s="4">
        <v>2000.0</v>
      </c>
      <c r="C39" s="5" t="s">
        <v>55</v>
      </c>
    </row>
    <row r="40" ht="15.75" customHeight="1">
      <c r="A40" s="3" t="s">
        <v>56</v>
      </c>
      <c r="B40" s="4">
        <v>5000.0</v>
      </c>
      <c r="C40" s="6" t="s">
        <v>57</v>
      </c>
    </row>
    <row r="41" ht="15.75" customHeight="1">
      <c r="A41" s="3" t="s">
        <v>58</v>
      </c>
      <c r="B41" s="4">
        <v>15000.0</v>
      </c>
      <c r="C41" s="6" t="s">
        <v>59</v>
      </c>
    </row>
    <row r="42" ht="15.75" customHeight="1"/>
    <row r="43" ht="15.75" customHeight="1">
      <c r="A43" s="2" t="s">
        <v>60</v>
      </c>
      <c r="B43" s="2"/>
      <c r="C43" s="2"/>
      <c r="D43" s="2"/>
    </row>
    <row r="44" ht="15.75" customHeight="1">
      <c r="A44" s="3" t="s">
        <v>61</v>
      </c>
      <c r="B44" s="8">
        <v>30.0</v>
      </c>
    </row>
    <row r="45" ht="15.75" customHeight="1"/>
    <row r="46" ht="15.75" customHeight="1">
      <c r="A46" s="2" t="s">
        <v>62</v>
      </c>
      <c r="B46" s="2" t="s">
        <v>63</v>
      </c>
    </row>
    <row r="47" ht="15.75" customHeight="1">
      <c r="A47" s="3" t="s">
        <v>64</v>
      </c>
      <c r="B47" s="8"/>
      <c r="C47" s="5" t="s">
        <v>65</v>
      </c>
    </row>
    <row r="48" ht="15.75" customHeight="1">
      <c r="A48" s="3" t="s">
        <v>66</v>
      </c>
      <c r="B48" s="8"/>
      <c r="C48" s="5" t="s">
        <v>65</v>
      </c>
    </row>
    <row r="49" ht="15.75" customHeight="1">
      <c r="A49" s="3" t="s">
        <v>67</v>
      </c>
      <c r="B49" s="8">
        <v>1.0</v>
      </c>
    </row>
    <row r="50" ht="15.75" customHeight="1">
      <c r="A50" s="3" t="s">
        <v>68</v>
      </c>
      <c r="B50" s="8">
        <v>1.0</v>
      </c>
    </row>
    <row r="51" ht="15.75" customHeight="1">
      <c r="A51" s="3" t="s">
        <v>69</v>
      </c>
      <c r="B51" s="8">
        <v>2.0</v>
      </c>
    </row>
    <row r="52" ht="15.75" customHeight="1">
      <c r="A52" s="3" t="s">
        <v>70</v>
      </c>
      <c r="B52" s="8">
        <v>2.0</v>
      </c>
    </row>
    <row r="53" ht="15.75" customHeight="1">
      <c r="A53" s="3" t="s">
        <v>71</v>
      </c>
      <c r="B53" s="8">
        <v>2.0</v>
      </c>
    </row>
    <row r="54" ht="15.75" customHeight="1"/>
    <row r="55" ht="15.75" customHeight="1">
      <c r="A55" s="2" t="s">
        <v>72</v>
      </c>
      <c r="B55" s="2" t="s">
        <v>73</v>
      </c>
      <c r="C55" s="2" t="s">
        <v>74</v>
      </c>
      <c r="D55" s="2"/>
    </row>
    <row r="56" ht="15.75" customHeight="1">
      <c r="A56" s="3" t="s">
        <v>75</v>
      </c>
      <c r="B56" s="8">
        <v>0.0</v>
      </c>
      <c r="C56" s="8">
        <v>0.0</v>
      </c>
    </row>
    <row r="57" ht="15.75" customHeight="1">
      <c r="A57" s="3" t="s">
        <v>76</v>
      </c>
      <c r="B57" s="8">
        <v>1.0</v>
      </c>
      <c r="C57" s="8">
        <v>2.0</v>
      </c>
    </row>
    <row r="58" ht="15.75" customHeight="1">
      <c r="A58" s="3" t="s">
        <v>77</v>
      </c>
      <c r="B58" s="8">
        <v>2.0</v>
      </c>
      <c r="C58" s="8">
        <v>4.0</v>
      </c>
    </row>
    <row r="59" ht="15.75" customHeight="1">
      <c r="A59" s="3" t="s">
        <v>78</v>
      </c>
      <c r="B59" s="8">
        <v>3.0</v>
      </c>
      <c r="C59" s="8">
        <v>5.0</v>
      </c>
    </row>
    <row r="60" ht="15.75" customHeight="1">
      <c r="A60" s="3" t="s">
        <v>79</v>
      </c>
      <c r="B60" s="8">
        <v>4.0</v>
      </c>
      <c r="C60" s="8">
        <v>7.0</v>
      </c>
    </row>
    <row r="61" ht="15.75" customHeight="1">
      <c r="A61" s="3" t="s">
        <v>80</v>
      </c>
      <c r="B61" s="8">
        <v>5.0</v>
      </c>
      <c r="C61" s="8">
        <v>9.0</v>
      </c>
    </row>
    <row r="62" ht="15.75" customHeight="1">
      <c r="A62" s="3" t="s">
        <v>81</v>
      </c>
      <c r="B62" s="8">
        <v>6.0</v>
      </c>
      <c r="C62" s="8">
        <v>10.0</v>
      </c>
    </row>
    <row r="63" ht="15.75" customHeight="1"/>
    <row r="64" ht="15.75" customHeight="1">
      <c r="A64" s="2" t="s">
        <v>82</v>
      </c>
      <c r="B64" s="2"/>
      <c r="C64" s="2"/>
      <c r="D64" s="2"/>
    </row>
    <row r="65" ht="15.75" customHeight="1">
      <c r="A65" s="3" t="s">
        <v>83</v>
      </c>
      <c r="B65" s="8">
        <v>1.0</v>
      </c>
    </row>
    <row r="66" ht="15.75" customHeight="1">
      <c r="A66" s="3" t="s">
        <v>84</v>
      </c>
      <c r="B66" s="8">
        <v>1.0</v>
      </c>
    </row>
    <row r="67" ht="15.75" customHeight="1">
      <c r="A67" s="3" t="s">
        <v>85</v>
      </c>
      <c r="B67" s="8">
        <v>1.0</v>
      </c>
    </row>
    <row r="68" ht="15.75" customHeight="1">
      <c r="A68" s="3" t="s">
        <v>86</v>
      </c>
      <c r="B68" s="8">
        <v>1.0</v>
      </c>
    </row>
    <row r="69" ht="15.75" customHeight="1">
      <c r="A69" s="3" t="s">
        <v>87</v>
      </c>
      <c r="B69" s="8">
        <v>2.0</v>
      </c>
    </row>
    <row r="70" ht="15.75" customHeight="1">
      <c r="A70" s="3" t="s">
        <v>88</v>
      </c>
      <c r="B70" s="8">
        <v>2.0</v>
      </c>
    </row>
    <row r="71" ht="15.75" customHeight="1">
      <c r="A71" s="3" t="s">
        <v>89</v>
      </c>
      <c r="B71" s="8">
        <v>3.0</v>
      </c>
    </row>
    <row r="72" ht="15.75" customHeight="1"/>
    <row r="73" ht="15.75" customHeight="1">
      <c r="A73" s="2" t="s">
        <v>90</v>
      </c>
      <c r="B73" s="2"/>
      <c r="C73" s="2"/>
      <c r="D73" s="2"/>
    </row>
    <row r="74" ht="15.75" customHeight="1">
      <c r="A74" s="9" t="s">
        <v>91</v>
      </c>
      <c r="B74" s="4">
        <v>1000000.0</v>
      </c>
    </row>
    <row r="75" ht="15.75" customHeight="1">
      <c r="A75" s="9" t="s">
        <v>92</v>
      </c>
      <c r="B75" s="4">
        <v>1000000.0</v>
      </c>
      <c r="C75" s="6" t="s">
        <v>93</v>
      </c>
    </row>
    <row r="76" ht="15.75" customHeight="1">
      <c r="A76" s="9" t="s">
        <v>94</v>
      </c>
      <c r="B76" s="4">
        <v>1.7E8</v>
      </c>
      <c r="C76" s="6" t="s">
        <v>95</v>
      </c>
    </row>
    <row r="77" ht="15.75" customHeight="1">
      <c r="A77" s="3" t="s">
        <v>96</v>
      </c>
      <c r="B77" s="4">
        <v>3.0E7</v>
      </c>
    </row>
    <row r="78" ht="15.75" customHeight="1">
      <c r="A78" s="9" t="s">
        <v>97</v>
      </c>
      <c r="B78" s="4">
        <v>2000000.0</v>
      </c>
    </row>
    <row r="79" ht="15.75" customHeight="1">
      <c r="A79" s="9" t="s">
        <v>98</v>
      </c>
      <c r="B79" s="4">
        <v>500000.0</v>
      </c>
    </row>
    <row r="80" ht="15.75" customHeight="1">
      <c r="A80" s="12" t="s">
        <v>99</v>
      </c>
      <c r="B80" s="13">
        <v>5000000.0</v>
      </c>
    </row>
    <row r="81" ht="15.75" customHeight="1">
      <c r="A81" s="9" t="s">
        <v>100</v>
      </c>
      <c r="B81" s="7">
        <v>0.015</v>
      </c>
    </row>
    <row r="82" ht="15.75" customHeight="1">
      <c r="A82" s="9" t="s">
        <v>101</v>
      </c>
      <c r="B82" s="8">
        <v>24.0</v>
      </c>
    </row>
    <row r="83" ht="15.75" customHeight="1">
      <c r="A83" s="9" t="s">
        <v>102</v>
      </c>
      <c r="B83" s="8">
        <v>60.0</v>
      </c>
    </row>
    <row r="84" ht="15.75" customHeight="1">
      <c r="A84" s="3" t="s">
        <v>103</v>
      </c>
      <c r="B84" s="4">
        <v>5.0E8</v>
      </c>
    </row>
    <row r="85" ht="15.75" customHeight="1">
      <c r="A85" s="3" t="s">
        <v>104</v>
      </c>
      <c r="B85" s="4">
        <v>1.0E8</v>
      </c>
    </row>
    <row r="86" ht="15.75" customHeight="1">
      <c r="A86" s="3" t="s">
        <v>105</v>
      </c>
      <c r="B86" s="7">
        <v>0.067</v>
      </c>
    </row>
    <row r="87" ht="15.75" customHeight="1">
      <c r="A87" s="3" t="s">
        <v>106</v>
      </c>
      <c r="B87" s="8">
        <v>24.0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61" width="12.29"/>
  </cols>
  <sheetData>
    <row r="1">
      <c r="A1" s="14" t="s">
        <v>107</v>
      </c>
    </row>
    <row r="2">
      <c r="A2" s="15" t="s">
        <v>108</v>
      </c>
      <c r="B2" s="3" t="str">
        <f>IF(1&lt;=6,"P1",IF(1&lt;=12,"P2",IF(1&lt;=18,"P3",IF(1&lt;=24,"P4",IF(1&lt;=36,"P5",IF(1&lt;=48,"P6","P7"))))))</f>
        <v>P1</v>
      </c>
      <c r="C2" s="3" t="str">
        <f>IF(2&lt;=6,"P1",IF(2&lt;=12,"P2",IF(2&lt;=18,"P3",IF(2&lt;=24,"P4",IF(2&lt;=36,"P5",IF(2&lt;=48,"P6","P7"))))))</f>
        <v>P1</v>
      </c>
      <c r="D2" s="3" t="str">
        <f>IF(3&lt;=6,"P1",IF(3&lt;=12,"P2",IF(3&lt;=18,"P3",IF(3&lt;=24,"P4",IF(3&lt;=36,"P5",IF(3&lt;=48,"P6","P7"))))))</f>
        <v>P1</v>
      </c>
      <c r="E2" s="3" t="str">
        <f>IF(4&lt;=6,"P1",IF(4&lt;=12,"P2",IF(4&lt;=18,"P3",IF(4&lt;=24,"P4",IF(4&lt;=36,"P5",IF(4&lt;=48,"P6","P7"))))))</f>
        <v>P1</v>
      </c>
      <c r="F2" s="3" t="str">
        <f>IF(5&lt;=6,"P1",IF(5&lt;=12,"P2",IF(5&lt;=18,"P3",IF(5&lt;=24,"P4",IF(5&lt;=36,"P5",IF(5&lt;=48,"P6","P7"))))))</f>
        <v>P1</v>
      </c>
      <c r="G2" s="3" t="str">
        <f>IF(6&lt;=6,"P1",IF(6&lt;=12,"P2",IF(6&lt;=18,"P3",IF(6&lt;=24,"P4",IF(6&lt;=36,"P5",IF(6&lt;=48,"P6","P7"))))))</f>
        <v>P1</v>
      </c>
      <c r="H2" s="3" t="str">
        <f>IF(7&lt;=6,"P1",IF(7&lt;=12,"P2",IF(7&lt;=18,"P3",IF(7&lt;=24,"P4",IF(7&lt;=36,"P5",IF(7&lt;=48,"P6","P7"))))))</f>
        <v>P2</v>
      </c>
      <c r="I2" s="3" t="str">
        <f>IF(8&lt;=6,"P1",IF(8&lt;=12,"P2",IF(8&lt;=18,"P3",IF(8&lt;=24,"P4",IF(8&lt;=36,"P5",IF(8&lt;=48,"P6","P7"))))))</f>
        <v>P2</v>
      </c>
      <c r="J2" s="3" t="str">
        <f>IF(9&lt;=6,"P1",IF(9&lt;=12,"P2",IF(9&lt;=18,"P3",IF(9&lt;=24,"P4",IF(9&lt;=36,"P5",IF(9&lt;=48,"P6","P7"))))))</f>
        <v>P2</v>
      </c>
      <c r="K2" s="3" t="str">
        <f>IF(10&lt;=6,"P1",IF(10&lt;=12,"P2",IF(10&lt;=18,"P3",IF(10&lt;=24,"P4",IF(10&lt;=36,"P5",IF(10&lt;=48,"P6","P7"))))))</f>
        <v>P2</v>
      </c>
      <c r="L2" s="3" t="str">
        <f>IF(11&lt;=6,"P1",IF(11&lt;=12,"P2",IF(11&lt;=18,"P3",IF(11&lt;=24,"P4",IF(11&lt;=36,"P5",IF(11&lt;=48,"P6","P7"))))))</f>
        <v>P2</v>
      </c>
      <c r="M2" s="3" t="str">
        <f>IF(12&lt;=6,"P1",IF(12&lt;=12,"P2",IF(12&lt;=18,"P3",IF(12&lt;=24,"P4",IF(12&lt;=36,"P5",IF(12&lt;=48,"P6","P7"))))))</f>
        <v>P2</v>
      </c>
      <c r="N2" s="3" t="str">
        <f>IF(13&lt;=6,"P1",IF(13&lt;=12,"P2",IF(13&lt;=18,"P3",IF(13&lt;=24,"P4",IF(13&lt;=36,"P5",IF(13&lt;=48,"P6","P7"))))))</f>
        <v>P3</v>
      </c>
      <c r="O2" s="3" t="str">
        <f>IF(14&lt;=6,"P1",IF(14&lt;=12,"P2",IF(14&lt;=18,"P3",IF(14&lt;=24,"P4",IF(14&lt;=36,"P5",IF(14&lt;=48,"P6","P7"))))))</f>
        <v>P3</v>
      </c>
      <c r="P2" s="3" t="str">
        <f>IF(15&lt;=6,"P1",IF(15&lt;=12,"P2",IF(15&lt;=18,"P3",IF(15&lt;=24,"P4",IF(15&lt;=36,"P5",IF(15&lt;=48,"P6","P7"))))))</f>
        <v>P3</v>
      </c>
      <c r="Q2" s="3" t="str">
        <f>IF(16&lt;=6,"P1",IF(16&lt;=12,"P2",IF(16&lt;=18,"P3",IF(16&lt;=24,"P4",IF(16&lt;=36,"P5",IF(16&lt;=48,"P6","P7"))))))</f>
        <v>P3</v>
      </c>
      <c r="R2" s="3" t="str">
        <f>IF(17&lt;=6,"P1",IF(17&lt;=12,"P2",IF(17&lt;=18,"P3",IF(17&lt;=24,"P4",IF(17&lt;=36,"P5",IF(17&lt;=48,"P6","P7"))))))</f>
        <v>P3</v>
      </c>
      <c r="S2" s="3" t="str">
        <f>IF(18&lt;=6,"P1",IF(18&lt;=12,"P2",IF(18&lt;=18,"P3",IF(18&lt;=24,"P4",IF(18&lt;=36,"P5",IF(18&lt;=48,"P6","P7"))))))</f>
        <v>P3</v>
      </c>
      <c r="T2" s="3" t="str">
        <f>IF(19&lt;=6,"P1",IF(19&lt;=12,"P2",IF(19&lt;=18,"P3",IF(19&lt;=24,"P4",IF(19&lt;=36,"P5",IF(19&lt;=48,"P6","P7"))))))</f>
        <v>P4</v>
      </c>
      <c r="U2" s="3" t="str">
        <f>IF(20&lt;=6,"P1",IF(20&lt;=12,"P2",IF(20&lt;=18,"P3",IF(20&lt;=24,"P4",IF(20&lt;=36,"P5",IF(20&lt;=48,"P6","P7"))))))</f>
        <v>P4</v>
      </c>
      <c r="V2" s="3" t="str">
        <f>IF(21&lt;=6,"P1",IF(21&lt;=12,"P2",IF(21&lt;=18,"P3",IF(21&lt;=24,"P4",IF(21&lt;=36,"P5",IF(21&lt;=48,"P6","P7"))))))</f>
        <v>P4</v>
      </c>
      <c r="W2" s="3" t="str">
        <f>IF(22&lt;=6,"P1",IF(22&lt;=12,"P2",IF(22&lt;=18,"P3",IF(22&lt;=24,"P4",IF(22&lt;=36,"P5",IF(22&lt;=48,"P6","P7"))))))</f>
        <v>P4</v>
      </c>
      <c r="X2" s="3" t="str">
        <f>IF(23&lt;=6,"P1",IF(23&lt;=12,"P2",IF(23&lt;=18,"P3",IF(23&lt;=24,"P4",IF(23&lt;=36,"P5",IF(23&lt;=48,"P6","P7"))))))</f>
        <v>P4</v>
      </c>
      <c r="Y2" s="3" t="str">
        <f>IF(24&lt;=6,"P1",IF(24&lt;=12,"P2",IF(24&lt;=18,"P3",IF(24&lt;=24,"P4",IF(24&lt;=36,"P5",IF(24&lt;=48,"P6","P7"))))))</f>
        <v>P4</v>
      </c>
      <c r="Z2" s="3" t="str">
        <f>IF(25&lt;=6,"P1",IF(25&lt;=12,"P2",IF(25&lt;=18,"P3",IF(25&lt;=24,"P4",IF(25&lt;=36,"P5",IF(25&lt;=48,"P6","P7"))))))</f>
        <v>P5</v>
      </c>
      <c r="AA2" s="3" t="str">
        <f>IF(26&lt;=6,"P1",IF(26&lt;=12,"P2",IF(26&lt;=18,"P3",IF(26&lt;=24,"P4",IF(26&lt;=36,"P5",IF(26&lt;=48,"P6","P7"))))))</f>
        <v>P5</v>
      </c>
      <c r="AB2" s="3" t="str">
        <f>IF(27&lt;=6,"P1",IF(27&lt;=12,"P2",IF(27&lt;=18,"P3",IF(27&lt;=24,"P4",IF(27&lt;=36,"P5",IF(27&lt;=48,"P6","P7"))))))</f>
        <v>P5</v>
      </c>
      <c r="AC2" s="3" t="str">
        <f>IF(28&lt;=6,"P1",IF(28&lt;=12,"P2",IF(28&lt;=18,"P3",IF(28&lt;=24,"P4",IF(28&lt;=36,"P5",IF(28&lt;=48,"P6","P7"))))))</f>
        <v>P5</v>
      </c>
      <c r="AD2" s="3" t="str">
        <f>IF(29&lt;=6,"P1",IF(29&lt;=12,"P2",IF(29&lt;=18,"P3",IF(29&lt;=24,"P4",IF(29&lt;=36,"P5",IF(29&lt;=48,"P6","P7"))))))</f>
        <v>P5</v>
      </c>
      <c r="AE2" s="3" t="str">
        <f>IF(30&lt;=6,"P1",IF(30&lt;=12,"P2",IF(30&lt;=18,"P3",IF(30&lt;=24,"P4",IF(30&lt;=36,"P5",IF(30&lt;=48,"P6","P7"))))))</f>
        <v>P5</v>
      </c>
      <c r="AF2" s="3" t="str">
        <f>IF(31&lt;=6,"P1",IF(31&lt;=12,"P2",IF(31&lt;=18,"P3",IF(31&lt;=24,"P4",IF(31&lt;=36,"P5",IF(31&lt;=48,"P6","P7"))))))</f>
        <v>P5</v>
      </c>
      <c r="AG2" s="3" t="str">
        <f>IF(32&lt;=6,"P1",IF(32&lt;=12,"P2",IF(32&lt;=18,"P3",IF(32&lt;=24,"P4",IF(32&lt;=36,"P5",IF(32&lt;=48,"P6","P7"))))))</f>
        <v>P5</v>
      </c>
      <c r="AH2" s="3" t="str">
        <f>IF(33&lt;=6,"P1",IF(33&lt;=12,"P2",IF(33&lt;=18,"P3",IF(33&lt;=24,"P4",IF(33&lt;=36,"P5",IF(33&lt;=48,"P6","P7"))))))</f>
        <v>P5</v>
      </c>
      <c r="AI2" s="3" t="str">
        <f>IF(34&lt;=6,"P1",IF(34&lt;=12,"P2",IF(34&lt;=18,"P3",IF(34&lt;=24,"P4",IF(34&lt;=36,"P5",IF(34&lt;=48,"P6","P7"))))))</f>
        <v>P5</v>
      </c>
      <c r="AJ2" s="3" t="str">
        <f>IF(35&lt;=6,"P1",IF(35&lt;=12,"P2",IF(35&lt;=18,"P3",IF(35&lt;=24,"P4",IF(35&lt;=36,"P5",IF(35&lt;=48,"P6","P7"))))))</f>
        <v>P5</v>
      </c>
      <c r="AK2" s="3" t="str">
        <f>IF(36&lt;=6,"P1",IF(36&lt;=12,"P2",IF(36&lt;=18,"P3",IF(36&lt;=24,"P4",IF(36&lt;=36,"P5",IF(36&lt;=48,"P6","P7"))))))</f>
        <v>P5</v>
      </c>
      <c r="AL2" s="3" t="str">
        <f>IF(37&lt;=6,"P1",IF(37&lt;=12,"P2",IF(37&lt;=18,"P3",IF(37&lt;=24,"P4",IF(37&lt;=36,"P5",IF(37&lt;=48,"P6","P7"))))))</f>
        <v>P6</v>
      </c>
      <c r="AM2" s="3" t="str">
        <f>IF(38&lt;=6,"P1",IF(38&lt;=12,"P2",IF(38&lt;=18,"P3",IF(38&lt;=24,"P4",IF(38&lt;=36,"P5",IF(38&lt;=48,"P6","P7"))))))</f>
        <v>P6</v>
      </c>
      <c r="AN2" s="3" t="str">
        <f>IF(39&lt;=6,"P1",IF(39&lt;=12,"P2",IF(39&lt;=18,"P3",IF(39&lt;=24,"P4",IF(39&lt;=36,"P5",IF(39&lt;=48,"P6","P7"))))))</f>
        <v>P6</v>
      </c>
      <c r="AO2" s="3" t="str">
        <f>IF(40&lt;=6,"P1",IF(40&lt;=12,"P2",IF(40&lt;=18,"P3",IF(40&lt;=24,"P4",IF(40&lt;=36,"P5",IF(40&lt;=48,"P6","P7"))))))</f>
        <v>P6</v>
      </c>
      <c r="AP2" s="3" t="str">
        <f>IF(41&lt;=6,"P1",IF(41&lt;=12,"P2",IF(41&lt;=18,"P3",IF(41&lt;=24,"P4",IF(41&lt;=36,"P5",IF(41&lt;=48,"P6","P7"))))))</f>
        <v>P6</v>
      </c>
      <c r="AQ2" s="3" t="str">
        <f>IF(42&lt;=6,"P1",IF(42&lt;=12,"P2",IF(42&lt;=18,"P3",IF(42&lt;=24,"P4",IF(42&lt;=36,"P5",IF(42&lt;=48,"P6","P7"))))))</f>
        <v>P6</v>
      </c>
      <c r="AR2" s="3" t="str">
        <f>IF(43&lt;=6,"P1",IF(43&lt;=12,"P2",IF(43&lt;=18,"P3",IF(43&lt;=24,"P4",IF(43&lt;=36,"P5",IF(43&lt;=48,"P6","P7"))))))</f>
        <v>P6</v>
      </c>
      <c r="AS2" s="3" t="str">
        <f>IF(44&lt;=6,"P1",IF(44&lt;=12,"P2",IF(44&lt;=18,"P3",IF(44&lt;=24,"P4",IF(44&lt;=36,"P5",IF(44&lt;=48,"P6","P7"))))))</f>
        <v>P6</v>
      </c>
      <c r="AT2" s="3" t="str">
        <f>IF(45&lt;=6,"P1",IF(45&lt;=12,"P2",IF(45&lt;=18,"P3",IF(45&lt;=24,"P4",IF(45&lt;=36,"P5",IF(45&lt;=48,"P6","P7"))))))</f>
        <v>P6</v>
      </c>
      <c r="AU2" s="3" t="str">
        <f>IF(46&lt;=6,"P1",IF(46&lt;=12,"P2",IF(46&lt;=18,"P3",IF(46&lt;=24,"P4",IF(46&lt;=36,"P5",IF(46&lt;=48,"P6","P7"))))))</f>
        <v>P6</v>
      </c>
      <c r="AV2" s="3" t="str">
        <f>IF(47&lt;=6,"P1",IF(47&lt;=12,"P2",IF(47&lt;=18,"P3",IF(47&lt;=24,"P4",IF(47&lt;=36,"P5",IF(47&lt;=48,"P6","P7"))))))</f>
        <v>P6</v>
      </c>
      <c r="AW2" s="3" t="str">
        <f>IF(48&lt;=6,"P1",IF(48&lt;=12,"P2",IF(48&lt;=18,"P3",IF(48&lt;=24,"P4",IF(48&lt;=36,"P5",IF(48&lt;=48,"P6","P7"))))))</f>
        <v>P6</v>
      </c>
      <c r="AX2" s="3" t="str">
        <f>IF(49&lt;=6,"P1",IF(49&lt;=12,"P2",IF(49&lt;=18,"P3",IF(49&lt;=24,"P4",IF(49&lt;=36,"P5",IF(49&lt;=48,"P6","P7"))))))</f>
        <v>P7</v>
      </c>
      <c r="AY2" s="3" t="str">
        <f>IF(50&lt;=6,"P1",IF(50&lt;=12,"P2",IF(50&lt;=18,"P3",IF(50&lt;=24,"P4",IF(50&lt;=36,"P5",IF(50&lt;=48,"P6","P7"))))))</f>
        <v>P7</v>
      </c>
      <c r="AZ2" s="3" t="str">
        <f>IF(51&lt;=6,"P1",IF(51&lt;=12,"P2",IF(51&lt;=18,"P3",IF(51&lt;=24,"P4",IF(51&lt;=36,"P5",IF(51&lt;=48,"P6","P7"))))))</f>
        <v>P7</v>
      </c>
      <c r="BA2" s="3" t="str">
        <f>IF(52&lt;=6,"P1",IF(52&lt;=12,"P2",IF(52&lt;=18,"P3",IF(52&lt;=24,"P4",IF(52&lt;=36,"P5",IF(52&lt;=48,"P6","P7"))))))</f>
        <v>P7</v>
      </c>
      <c r="BB2" s="3" t="str">
        <f>IF(53&lt;=6,"P1",IF(53&lt;=12,"P2",IF(53&lt;=18,"P3",IF(53&lt;=24,"P4",IF(53&lt;=36,"P5",IF(53&lt;=48,"P6","P7"))))))</f>
        <v>P7</v>
      </c>
      <c r="BC2" s="3" t="str">
        <f>IF(54&lt;=6,"P1",IF(54&lt;=12,"P2",IF(54&lt;=18,"P3",IF(54&lt;=24,"P4",IF(54&lt;=36,"P5",IF(54&lt;=48,"P6","P7"))))))</f>
        <v>P7</v>
      </c>
      <c r="BD2" s="3" t="str">
        <f>IF(55&lt;=6,"P1",IF(55&lt;=12,"P2",IF(55&lt;=18,"P3",IF(55&lt;=24,"P4",IF(55&lt;=36,"P5",IF(55&lt;=48,"P6","P7"))))))</f>
        <v>P7</v>
      </c>
      <c r="BE2" s="3" t="str">
        <f>IF(56&lt;=6,"P1",IF(56&lt;=12,"P2",IF(56&lt;=18,"P3",IF(56&lt;=24,"P4",IF(56&lt;=36,"P5",IF(56&lt;=48,"P6","P7"))))))</f>
        <v>P7</v>
      </c>
      <c r="BF2" s="3" t="str">
        <f>IF(57&lt;=6,"P1",IF(57&lt;=12,"P2",IF(57&lt;=18,"P3",IF(57&lt;=24,"P4",IF(57&lt;=36,"P5",IF(57&lt;=48,"P6","P7"))))))</f>
        <v>P7</v>
      </c>
      <c r="BG2" s="3" t="str">
        <f>IF(58&lt;=6,"P1",IF(58&lt;=12,"P2",IF(58&lt;=18,"P3",IF(58&lt;=24,"P4",IF(58&lt;=36,"P5",IF(58&lt;=48,"P6","P7"))))))</f>
        <v>P7</v>
      </c>
      <c r="BH2" s="3" t="str">
        <f>IF(59&lt;=6,"P1",IF(59&lt;=12,"P2",IF(59&lt;=18,"P3",IF(59&lt;=24,"P4",IF(59&lt;=36,"P5",IF(59&lt;=48,"P6","P7"))))))</f>
        <v>P7</v>
      </c>
      <c r="BI2" s="3" t="str">
        <f>IF(60&lt;=6,"P1",IF(60&lt;=12,"P2",IF(60&lt;=18,"P3",IF(60&lt;=24,"P4",IF(60&lt;=36,"P5",IF(60&lt;=48,"P6","P7"))))))</f>
        <v>P7</v>
      </c>
    </row>
    <row r="3">
      <c r="A3" s="15" t="s">
        <v>109</v>
      </c>
      <c r="B3" s="16" t="s">
        <v>110</v>
      </c>
      <c r="C3" s="16" t="s">
        <v>111</v>
      </c>
      <c r="D3" s="16" t="s">
        <v>112</v>
      </c>
      <c r="E3" s="16" t="s">
        <v>113</v>
      </c>
      <c r="F3" s="16" t="s">
        <v>114</v>
      </c>
      <c r="G3" s="16" t="s">
        <v>115</v>
      </c>
      <c r="H3" s="16" t="s">
        <v>116</v>
      </c>
      <c r="I3" s="16" t="s">
        <v>117</v>
      </c>
      <c r="J3" s="16" t="s">
        <v>118</v>
      </c>
      <c r="K3" s="16" t="s">
        <v>119</v>
      </c>
      <c r="L3" s="16" t="s">
        <v>120</v>
      </c>
      <c r="M3" s="16" t="s">
        <v>121</v>
      </c>
      <c r="N3" s="16" t="s">
        <v>122</v>
      </c>
      <c r="O3" s="16" t="s">
        <v>123</v>
      </c>
      <c r="P3" s="16" t="s">
        <v>124</v>
      </c>
      <c r="Q3" s="16" t="s">
        <v>125</v>
      </c>
      <c r="R3" s="16" t="s">
        <v>126</v>
      </c>
      <c r="S3" s="16" t="s">
        <v>127</v>
      </c>
      <c r="T3" s="16" t="s">
        <v>128</v>
      </c>
      <c r="U3" s="16" t="s">
        <v>129</v>
      </c>
      <c r="V3" s="16" t="s">
        <v>130</v>
      </c>
      <c r="W3" s="16" t="s">
        <v>131</v>
      </c>
      <c r="X3" s="16" t="s">
        <v>132</v>
      </c>
      <c r="Y3" s="16" t="s">
        <v>133</v>
      </c>
      <c r="Z3" s="16" t="s">
        <v>134</v>
      </c>
      <c r="AA3" s="16" t="s">
        <v>135</v>
      </c>
      <c r="AB3" s="16" t="s">
        <v>136</v>
      </c>
      <c r="AC3" s="16" t="s">
        <v>137</v>
      </c>
      <c r="AD3" s="16" t="s">
        <v>138</v>
      </c>
      <c r="AE3" s="16" t="s">
        <v>139</v>
      </c>
      <c r="AF3" s="16" t="s">
        <v>140</v>
      </c>
      <c r="AG3" s="16" t="s">
        <v>141</v>
      </c>
      <c r="AH3" s="16" t="s">
        <v>142</v>
      </c>
      <c r="AI3" s="16" t="s">
        <v>143</v>
      </c>
      <c r="AJ3" s="16" t="s">
        <v>144</v>
      </c>
      <c r="AK3" s="16" t="s">
        <v>145</v>
      </c>
      <c r="AL3" s="16" t="s">
        <v>146</v>
      </c>
      <c r="AM3" s="16" t="s">
        <v>147</v>
      </c>
      <c r="AN3" s="16" t="s">
        <v>148</v>
      </c>
      <c r="AO3" s="16" t="s">
        <v>149</v>
      </c>
      <c r="AP3" s="16" t="s">
        <v>150</v>
      </c>
      <c r="AQ3" s="16" t="s">
        <v>151</v>
      </c>
      <c r="AR3" s="16" t="s">
        <v>152</v>
      </c>
      <c r="AS3" s="16" t="s">
        <v>153</v>
      </c>
      <c r="AT3" s="16" t="s">
        <v>154</v>
      </c>
      <c r="AU3" s="16" t="s">
        <v>155</v>
      </c>
      <c r="AV3" s="16" t="s">
        <v>156</v>
      </c>
      <c r="AW3" s="16" t="s">
        <v>157</v>
      </c>
      <c r="AX3" s="16" t="s">
        <v>158</v>
      </c>
      <c r="AY3" s="16" t="s">
        <v>159</v>
      </c>
      <c r="AZ3" s="16" t="s">
        <v>160</v>
      </c>
      <c r="BA3" s="16" t="s">
        <v>161</v>
      </c>
      <c r="BB3" s="16" t="s">
        <v>162</v>
      </c>
      <c r="BC3" s="16" t="s">
        <v>163</v>
      </c>
      <c r="BD3" s="16" t="s">
        <v>164</v>
      </c>
      <c r="BE3" s="16" t="s">
        <v>165</v>
      </c>
      <c r="BF3" s="16" t="s">
        <v>166</v>
      </c>
      <c r="BG3" s="16" t="s">
        <v>167</v>
      </c>
      <c r="BH3" s="16" t="s">
        <v>168</v>
      </c>
      <c r="BI3" s="16" t="s">
        <v>169</v>
      </c>
    </row>
    <row r="4">
      <c r="A4" s="2" t="s">
        <v>170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</row>
    <row r="5">
      <c r="A5" s="9" t="s">
        <v>171</v>
      </c>
      <c r="B5" s="3">
        <v>0.0</v>
      </c>
      <c r="C5" s="3">
        <f>IF(2&lt;=6,'前提'!$B$13,IF(2&lt;=12,'前提'!$B$14,IF(2&lt;=18,'前提'!$B$15,IF(2&lt;=24,'前提'!$B$16,IF(2&lt;=36,'前提'!$B$17,IF(2&lt;=48,'前提'!$B$18,'前提'!$B$19))))))</f>
        <v>2</v>
      </c>
      <c r="D5" s="3">
        <f>IF(3&lt;=6,'前提'!$B$13,IF(3&lt;=12,'前提'!$B$14,IF(3&lt;=18,'前提'!$B$15,IF(3&lt;=24,'前提'!$B$16,IF(3&lt;=36,'前提'!$B$17,IF(3&lt;=48,'前提'!$B$18,'前提'!$B$19))))))</f>
        <v>2</v>
      </c>
      <c r="E5" s="3">
        <f>IF(4&lt;=6,'前提'!$B$13,IF(4&lt;=12,'前提'!$B$14,IF(4&lt;=18,'前提'!$B$15,IF(4&lt;=24,'前提'!$B$16,IF(4&lt;=36,'前提'!$B$17,IF(4&lt;=48,'前提'!$B$18,'前提'!$B$19))))))</f>
        <v>2</v>
      </c>
      <c r="F5" s="3">
        <f>IF(5&lt;=6,'前提'!$B$13,IF(5&lt;=12,'前提'!$B$14,IF(5&lt;=18,'前提'!$B$15,IF(5&lt;=24,'前提'!$B$16,IF(5&lt;=36,'前提'!$B$17,IF(5&lt;=48,'前提'!$B$18,'前提'!$B$19))))))</f>
        <v>2</v>
      </c>
      <c r="G5" s="3">
        <f>IF(6&lt;=6,'前提'!$B$13,IF(6&lt;=12,'前提'!$B$14,IF(6&lt;=18,'前提'!$B$15,IF(6&lt;=24,'前提'!$B$16,IF(6&lt;=36,'前提'!$B$17,IF(6&lt;=48,'前提'!$B$18,'前提'!$B$19))))))</f>
        <v>2</v>
      </c>
      <c r="H5" s="3">
        <f>IF(7&lt;=6,'前提'!$B$13,IF(7&lt;=12,'前提'!$B$14,IF(7&lt;=18,'前提'!$B$15,IF(7&lt;=24,'前提'!$B$16,IF(7&lt;=36,'前提'!$B$17,IF(7&lt;=48,'前提'!$B$18,'前提'!$B$19))))))</f>
        <v>5</v>
      </c>
      <c r="I5" s="3">
        <f>IF(8&lt;=6,'前提'!$B$13,IF(8&lt;=12,'前提'!$B$14,IF(8&lt;=18,'前提'!$B$15,IF(8&lt;=24,'前提'!$B$16,IF(8&lt;=36,'前提'!$B$17,IF(8&lt;=48,'前提'!$B$18,'前提'!$B$19))))))</f>
        <v>5</v>
      </c>
      <c r="J5" s="3">
        <f>IF(9&lt;=6,'前提'!$B$13,IF(9&lt;=12,'前提'!$B$14,IF(9&lt;=18,'前提'!$B$15,IF(9&lt;=24,'前提'!$B$16,IF(9&lt;=36,'前提'!$B$17,IF(9&lt;=48,'前提'!$B$18,'前提'!$B$19))))))</f>
        <v>5</v>
      </c>
      <c r="K5" s="3">
        <f>IF(10&lt;=6,'前提'!$B$13,IF(10&lt;=12,'前提'!$B$14,IF(10&lt;=18,'前提'!$B$15,IF(10&lt;=24,'前提'!$B$16,IF(10&lt;=36,'前提'!$B$17,IF(10&lt;=48,'前提'!$B$18,'前提'!$B$19))))))</f>
        <v>5</v>
      </c>
      <c r="L5" s="3">
        <f>IF(11&lt;=6,'前提'!$B$13,IF(11&lt;=12,'前提'!$B$14,IF(11&lt;=18,'前提'!$B$15,IF(11&lt;=24,'前提'!$B$16,IF(11&lt;=36,'前提'!$B$17,IF(11&lt;=48,'前提'!$B$18,'前提'!$B$19))))))</f>
        <v>5</v>
      </c>
      <c r="M5" s="3">
        <f>IF(12&lt;=6,'前提'!$B$13,IF(12&lt;=12,'前提'!$B$14,IF(12&lt;=18,'前提'!$B$15,IF(12&lt;=24,'前提'!$B$16,IF(12&lt;=36,'前提'!$B$17,IF(12&lt;=48,'前提'!$B$18,'前提'!$B$19))))))</f>
        <v>5</v>
      </c>
      <c r="N5" s="3">
        <f>IF(13&lt;=6,'前提'!$B$13,IF(13&lt;=12,'前提'!$B$14,IF(13&lt;=18,'前提'!$B$15,IF(13&lt;=24,'前提'!$B$16,IF(13&lt;=36,'前提'!$B$17,IF(13&lt;=48,'前提'!$B$18,'前提'!$B$19))))))</f>
        <v>5</v>
      </c>
      <c r="O5" s="3">
        <f>IF(14&lt;=6,'前提'!$B$13,IF(14&lt;=12,'前提'!$B$14,IF(14&lt;=18,'前提'!$B$15,IF(14&lt;=24,'前提'!$B$16,IF(14&lt;=36,'前提'!$B$17,IF(14&lt;=48,'前提'!$B$18,'前提'!$B$19))))))</f>
        <v>5</v>
      </c>
      <c r="P5" s="3">
        <f>IF(15&lt;=6,'前提'!$B$13,IF(15&lt;=12,'前提'!$B$14,IF(15&lt;=18,'前提'!$B$15,IF(15&lt;=24,'前提'!$B$16,IF(15&lt;=36,'前提'!$B$17,IF(15&lt;=48,'前提'!$B$18,'前提'!$B$19))))))</f>
        <v>5</v>
      </c>
      <c r="Q5" s="3">
        <f>IF(16&lt;=6,'前提'!$B$13,IF(16&lt;=12,'前提'!$B$14,IF(16&lt;=18,'前提'!$B$15,IF(16&lt;=24,'前提'!$B$16,IF(16&lt;=36,'前提'!$B$17,IF(16&lt;=48,'前提'!$B$18,'前提'!$B$19))))))</f>
        <v>5</v>
      </c>
      <c r="R5" s="3">
        <f>IF(17&lt;=6,'前提'!$B$13,IF(17&lt;=12,'前提'!$B$14,IF(17&lt;=18,'前提'!$B$15,IF(17&lt;=24,'前提'!$B$16,IF(17&lt;=36,'前提'!$B$17,IF(17&lt;=48,'前提'!$B$18,'前提'!$B$19))))))</f>
        <v>5</v>
      </c>
      <c r="S5" s="3">
        <f>IF(18&lt;=6,'前提'!$B$13,IF(18&lt;=12,'前提'!$B$14,IF(18&lt;=18,'前提'!$B$15,IF(18&lt;=24,'前提'!$B$16,IF(18&lt;=36,'前提'!$B$17,IF(18&lt;=48,'前提'!$B$18,'前提'!$B$19))))))</f>
        <v>5</v>
      </c>
      <c r="T5" s="3">
        <f>IF(19&lt;=6,'前提'!$B$13,IF(19&lt;=12,'前提'!$B$14,IF(19&lt;=18,'前提'!$B$15,IF(19&lt;=24,'前提'!$B$16,IF(19&lt;=36,'前提'!$B$17,IF(19&lt;=48,'前提'!$B$18,'前提'!$B$19))))))</f>
        <v>6</v>
      </c>
      <c r="U5" s="3">
        <f>IF(20&lt;=6,'前提'!$B$13,IF(20&lt;=12,'前提'!$B$14,IF(20&lt;=18,'前提'!$B$15,IF(20&lt;=24,'前提'!$B$16,IF(20&lt;=36,'前提'!$B$17,IF(20&lt;=48,'前提'!$B$18,'前提'!$B$19))))))</f>
        <v>6</v>
      </c>
      <c r="V5" s="3">
        <f>IF(21&lt;=6,'前提'!$B$13,IF(21&lt;=12,'前提'!$B$14,IF(21&lt;=18,'前提'!$B$15,IF(21&lt;=24,'前提'!$B$16,IF(21&lt;=36,'前提'!$B$17,IF(21&lt;=48,'前提'!$B$18,'前提'!$B$19))))))</f>
        <v>6</v>
      </c>
      <c r="W5" s="3">
        <f>IF(22&lt;=6,'前提'!$B$13,IF(22&lt;=12,'前提'!$B$14,IF(22&lt;=18,'前提'!$B$15,IF(22&lt;=24,'前提'!$B$16,IF(22&lt;=36,'前提'!$B$17,IF(22&lt;=48,'前提'!$B$18,'前提'!$B$19))))))</f>
        <v>6</v>
      </c>
      <c r="X5" s="3">
        <f>IF(23&lt;=6,'前提'!$B$13,IF(23&lt;=12,'前提'!$B$14,IF(23&lt;=18,'前提'!$B$15,IF(23&lt;=24,'前提'!$B$16,IF(23&lt;=36,'前提'!$B$17,IF(23&lt;=48,'前提'!$B$18,'前提'!$B$19))))))</f>
        <v>6</v>
      </c>
      <c r="Y5" s="3">
        <f>IF(24&lt;=6,'前提'!$B$13,IF(24&lt;=12,'前提'!$B$14,IF(24&lt;=18,'前提'!$B$15,IF(24&lt;=24,'前提'!$B$16,IF(24&lt;=36,'前提'!$B$17,IF(24&lt;=48,'前提'!$B$18,'前提'!$B$19))))))</f>
        <v>6</v>
      </c>
      <c r="Z5" s="3">
        <f>IF(25&lt;=6,'前提'!$B$13,IF(25&lt;=12,'前提'!$B$14,IF(25&lt;=18,'前提'!$B$15,IF(25&lt;=24,'前提'!$B$16,IF(25&lt;=36,'前提'!$B$17,IF(25&lt;=48,'前提'!$B$18,'前提'!$B$19))))))</f>
        <v>8</v>
      </c>
      <c r="AA5" s="3">
        <f>IF(26&lt;=6,'前提'!$B$13,IF(26&lt;=12,'前提'!$B$14,IF(26&lt;=18,'前提'!$B$15,IF(26&lt;=24,'前提'!$B$16,IF(26&lt;=36,'前提'!$B$17,IF(26&lt;=48,'前提'!$B$18,'前提'!$B$19))))))</f>
        <v>8</v>
      </c>
      <c r="AB5" s="3">
        <f>IF(27&lt;=6,'前提'!$B$13,IF(27&lt;=12,'前提'!$B$14,IF(27&lt;=18,'前提'!$B$15,IF(27&lt;=24,'前提'!$B$16,IF(27&lt;=36,'前提'!$B$17,IF(27&lt;=48,'前提'!$B$18,'前提'!$B$19))))))</f>
        <v>8</v>
      </c>
      <c r="AC5" s="3">
        <f>IF(28&lt;=6,'前提'!$B$13,IF(28&lt;=12,'前提'!$B$14,IF(28&lt;=18,'前提'!$B$15,IF(28&lt;=24,'前提'!$B$16,IF(28&lt;=36,'前提'!$B$17,IF(28&lt;=48,'前提'!$B$18,'前提'!$B$19))))))</f>
        <v>8</v>
      </c>
      <c r="AD5" s="3">
        <f>IF(29&lt;=6,'前提'!$B$13,IF(29&lt;=12,'前提'!$B$14,IF(29&lt;=18,'前提'!$B$15,IF(29&lt;=24,'前提'!$B$16,IF(29&lt;=36,'前提'!$B$17,IF(29&lt;=48,'前提'!$B$18,'前提'!$B$19))))))</f>
        <v>8</v>
      </c>
      <c r="AE5" s="3">
        <f>IF(30&lt;=6,'前提'!$B$13,IF(30&lt;=12,'前提'!$B$14,IF(30&lt;=18,'前提'!$B$15,IF(30&lt;=24,'前提'!$B$16,IF(30&lt;=36,'前提'!$B$17,IF(30&lt;=48,'前提'!$B$18,'前提'!$B$19))))))</f>
        <v>8</v>
      </c>
      <c r="AF5" s="3">
        <f>IF(31&lt;=6,'前提'!$B$13,IF(31&lt;=12,'前提'!$B$14,IF(31&lt;=18,'前提'!$B$15,IF(31&lt;=24,'前提'!$B$16,IF(31&lt;=36,'前提'!$B$17,IF(31&lt;=48,'前提'!$B$18,'前提'!$B$19))))))</f>
        <v>8</v>
      </c>
      <c r="AG5" s="3">
        <f>IF(32&lt;=6,'前提'!$B$13,IF(32&lt;=12,'前提'!$B$14,IF(32&lt;=18,'前提'!$B$15,IF(32&lt;=24,'前提'!$B$16,IF(32&lt;=36,'前提'!$B$17,IF(32&lt;=48,'前提'!$B$18,'前提'!$B$19))))))</f>
        <v>8</v>
      </c>
      <c r="AH5" s="3">
        <f>IF(33&lt;=6,'前提'!$B$13,IF(33&lt;=12,'前提'!$B$14,IF(33&lt;=18,'前提'!$B$15,IF(33&lt;=24,'前提'!$B$16,IF(33&lt;=36,'前提'!$B$17,IF(33&lt;=48,'前提'!$B$18,'前提'!$B$19))))))</f>
        <v>8</v>
      </c>
      <c r="AI5" s="3">
        <f>IF(34&lt;=6,'前提'!$B$13,IF(34&lt;=12,'前提'!$B$14,IF(34&lt;=18,'前提'!$B$15,IF(34&lt;=24,'前提'!$B$16,IF(34&lt;=36,'前提'!$B$17,IF(34&lt;=48,'前提'!$B$18,'前提'!$B$19))))))</f>
        <v>8</v>
      </c>
      <c r="AJ5" s="3">
        <f>IF(35&lt;=6,'前提'!$B$13,IF(35&lt;=12,'前提'!$B$14,IF(35&lt;=18,'前提'!$B$15,IF(35&lt;=24,'前提'!$B$16,IF(35&lt;=36,'前提'!$B$17,IF(35&lt;=48,'前提'!$B$18,'前提'!$B$19))))))</f>
        <v>8</v>
      </c>
      <c r="AK5" s="3">
        <f>IF(36&lt;=6,'前提'!$B$13,IF(36&lt;=12,'前提'!$B$14,IF(36&lt;=18,'前提'!$B$15,IF(36&lt;=24,'前提'!$B$16,IF(36&lt;=36,'前提'!$B$17,IF(36&lt;=48,'前提'!$B$18,'前提'!$B$19))))))</f>
        <v>8</v>
      </c>
      <c r="AL5" s="3">
        <f>IF(37&lt;=6,'前提'!$B$13,IF(37&lt;=12,'前提'!$B$14,IF(37&lt;=18,'前提'!$B$15,IF(37&lt;=24,'前提'!$B$16,IF(37&lt;=36,'前提'!$B$17,IF(37&lt;=48,'前提'!$B$18,'前提'!$B$19))))))</f>
        <v>10</v>
      </c>
      <c r="AM5" s="3">
        <f>IF(38&lt;=6,'前提'!$B$13,IF(38&lt;=12,'前提'!$B$14,IF(38&lt;=18,'前提'!$B$15,IF(38&lt;=24,'前提'!$B$16,IF(38&lt;=36,'前提'!$B$17,IF(38&lt;=48,'前提'!$B$18,'前提'!$B$19))))))</f>
        <v>10</v>
      </c>
      <c r="AN5" s="3">
        <f>IF(39&lt;=6,'前提'!$B$13,IF(39&lt;=12,'前提'!$B$14,IF(39&lt;=18,'前提'!$B$15,IF(39&lt;=24,'前提'!$B$16,IF(39&lt;=36,'前提'!$B$17,IF(39&lt;=48,'前提'!$B$18,'前提'!$B$19))))))</f>
        <v>10</v>
      </c>
      <c r="AO5" s="3">
        <f>IF(40&lt;=6,'前提'!$B$13,IF(40&lt;=12,'前提'!$B$14,IF(40&lt;=18,'前提'!$B$15,IF(40&lt;=24,'前提'!$B$16,IF(40&lt;=36,'前提'!$B$17,IF(40&lt;=48,'前提'!$B$18,'前提'!$B$19))))))</f>
        <v>10</v>
      </c>
      <c r="AP5" s="3">
        <f>IF(41&lt;=6,'前提'!$B$13,IF(41&lt;=12,'前提'!$B$14,IF(41&lt;=18,'前提'!$B$15,IF(41&lt;=24,'前提'!$B$16,IF(41&lt;=36,'前提'!$B$17,IF(41&lt;=48,'前提'!$B$18,'前提'!$B$19))))))</f>
        <v>10</v>
      </c>
      <c r="AQ5" s="3">
        <f>IF(42&lt;=6,'前提'!$B$13,IF(42&lt;=12,'前提'!$B$14,IF(42&lt;=18,'前提'!$B$15,IF(42&lt;=24,'前提'!$B$16,IF(42&lt;=36,'前提'!$B$17,IF(42&lt;=48,'前提'!$B$18,'前提'!$B$19))))))</f>
        <v>10</v>
      </c>
      <c r="AR5" s="3">
        <f>IF(43&lt;=6,'前提'!$B$13,IF(43&lt;=12,'前提'!$B$14,IF(43&lt;=18,'前提'!$B$15,IF(43&lt;=24,'前提'!$B$16,IF(43&lt;=36,'前提'!$B$17,IF(43&lt;=48,'前提'!$B$18,'前提'!$B$19))))))</f>
        <v>10</v>
      </c>
      <c r="AS5" s="3">
        <f>IF(44&lt;=6,'前提'!$B$13,IF(44&lt;=12,'前提'!$B$14,IF(44&lt;=18,'前提'!$B$15,IF(44&lt;=24,'前提'!$B$16,IF(44&lt;=36,'前提'!$B$17,IF(44&lt;=48,'前提'!$B$18,'前提'!$B$19))))))</f>
        <v>10</v>
      </c>
      <c r="AT5" s="3">
        <f>IF(45&lt;=6,'前提'!$B$13,IF(45&lt;=12,'前提'!$B$14,IF(45&lt;=18,'前提'!$B$15,IF(45&lt;=24,'前提'!$B$16,IF(45&lt;=36,'前提'!$B$17,IF(45&lt;=48,'前提'!$B$18,'前提'!$B$19))))))</f>
        <v>10</v>
      </c>
      <c r="AU5" s="3">
        <f>IF(46&lt;=6,'前提'!$B$13,IF(46&lt;=12,'前提'!$B$14,IF(46&lt;=18,'前提'!$B$15,IF(46&lt;=24,'前提'!$B$16,IF(46&lt;=36,'前提'!$B$17,IF(46&lt;=48,'前提'!$B$18,'前提'!$B$19))))))</f>
        <v>10</v>
      </c>
      <c r="AV5" s="3">
        <f>IF(47&lt;=6,'前提'!$B$13,IF(47&lt;=12,'前提'!$B$14,IF(47&lt;=18,'前提'!$B$15,IF(47&lt;=24,'前提'!$B$16,IF(47&lt;=36,'前提'!$B$17,IF(47&lt;=48,'前提'!$B$18,'前提'!$B$19))))))</f>
        <v>10</v>
      </c>
      <c r="AW5" s="3">
        <f>IF(48&lt;=6,'前提'!$B$13,IF(48&lt;=12,'前提'!$B$14,IF(48&lt;=18,'前提'!$B$15,IF(48&lt;=24,'前提'!$B$16,IF(48&lt;=36,'前提'!$B$17,IF(48&lt;=48,'前提'!$B$18,'前提'!$B$19))))))</f>
        <v>10</v>
      </c>
      <c r="AX5" s="3">
        <f>IF(49&lt;=6,'前提'!$B$13,IF(49&lt;=12,'前提'!$B$14,IF(49&lt;=18,'前提'!$B$15,IF(49&lt;=24,'前提'!$B$16,IF(49&lt;=36,'前提'!$B$17,IF(49&lt;=48,'前提'!$B$18,'前提'!$B$19))))))</f>
        <v>12</v>
      </c>
      <c r="AY5" s="3">
        <f>IF(50&lt;=6,'前提'!$B$13,IF(50&lt;=12,'前提'!$B$14,IF(50&lt;=18,'前提'!$B$15,IF(50&lt;=24,'前提'!$B$16,IF(50&lt;=36,'前提'!$B$17,IF(50&lt;=48,'前提'!$B$18,'前提'!$B$19))))))</f>
        <v>12</v>
      </c>
      <c r="AZ5" s="3">
        <f>IF(51&lt;=6,'前提'!$B$13,IF(51&lt;=12,'前提'!$B$14,IF(51&lt;=18,'前提'!$B$15,IF(51&lt;=24,'前提'!$B$16,IF(51&lt;=36,'前提'!$B$17,IF(51&lt;=48,'前提'!$B$18,'前提'!$B$19))))))</f>
        <v>12</v>
      </c>
      <c r="BA5" s="3">
        <f>IF(52&lt;=6,'前提'!$B$13,IF(52&lt;=12,'前提'!$B$14,IF(52&lt;=18,'前提'!$B$15,IF(52&lt;=24,'前提'!$B$16,IF(52&lt;=36,'前提'!$B$17,IF(52&lt;=48,'前提'!$B$18,'前提'!$B$19))))))</f>
        <v>12</v>
      </c>
      <c r="BB5" s="3">
        <f>IF(53&lt;=6,'前提'!$B$13,IF(53&lt;=12,'前提'!$B$14,IF(53&lt;=18,'前提'!$B$15,IF(53&lt;=24,'前提'!$B$16,IF(53&lt;=36,'前提'!$B$17,IF(53&lt;=48,'前提'!$B$18,'前提'!$B$19))))))</f>
        <v>12</v>
      </c>
      <c r="BC5" s="3">
        <f>IF(54&lt;=6,'前提'!$B$13,IF(54&lt;=12,'前提'!$B$14,IF(54&lt;=18,'前提'!$B$15,IF(54&lt;=24,'前提'!$B$16,IF(54&lt;=36,'前提'!$B$17,IF(54&lt;=48,'前提'!$B$18,'前提'!$B$19))))))</f>
        <v>12</v>
      </c>
      <c r="BD5" s="3">
        <f>IF(55&lt;=6,'前提'!$B$13,IF(55&lt;=12,'前提'!$B$14,IF(55&lt;=18,'前提'!$B$15,IF(55&lt;=24,'前提'!$B$16,IF(55&lt;=36,'前提'!$B$17,IF(55&lt;=48,'前提'!$B$18,'前提'!$B$19))))))</f>
        <v>12</v>
      </c>
      <c r="BE5" s="3">
        <f>IF(56&lt;=6,'前提'!$B$13,IF(56&lt;=12,'前提'!$B$14,IF(56&lt;=18,'前提'!$B$15,IF(56&lt;=24,'前提'!$B$16,IF(56&lt;=36,'前提'!$B$17,IF(56&lt;=48,'前提'!$B$18,'前提'!$B$19))))))</f>
        <v>12</v>
      </c>
      <c r="BF5" s="3">
        <f>IF(57&lt;=6,'前提'!$B$13,IF(57&lt;=12,'前提'!$B$14,IF(57&lt;=18,'前提'!$B$15,IF(57&lt;=24,'前提'!$B$16,IF(57&lt;=36,'前提'!$B$17,IF(57&lt;=48,'前提'!$B$18,'前提'!$B$19))))))</f>
        <v>12</v>
      </c>
      <c r="BG5" s="3">
        <f>IF(58&lt;=6,'前提'!$B$13,IF(58&lt;=12,'前提'!$B$14,IF(58&lt;=18,'前提'!$B$15,IF(58&lt;=24,'前提'!$B$16,IF(58&lt;=36,'前提'!$B$17,IF(58&lt;=48,'前提'!$B$18,'前提'!$B$19))))))</f>
        <v>12</v>
      </c>
      <c r="BH5" s="3">
        <f>IF(59&lt;=6,'前提'!$B$13,IF(59&lt;=12,'前提'!$B$14,IF(59&lt;=18,'前提'!$B$15,IF(59&lt;=24,'前提'!$B$16,IF(59&lt;=36,'前提'!$B$17,IF(59&lt;=48,'前提'!$B$18,'前提'!$B$19))))))</f>
        <v>12</v>
      </c>
      <c r="BI5" s="3">
        <f>IF(60&lt;=6,'前提'!$B$13,IF(60&lt;=12,'前提'!$B$14,IF(60&lt;=18,'前提'!$B$15,IF(60&lt;=24,'前提'!$B$16,IF(60&lt;=36,'前提'!$B$17,IF(60&lt;=48,'前提'!$B$18,'前提'!$B$19))))))</f>
        <v>12</v>
      </c>
    </row>
    <row r="7">
      <c r="A7" s="2" t="s">
        <v>172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>
      <c r="A8" s="3" t="s">
        <v>173</v>
      </c>
      <c r="B8" s="8">
        <v>1.0</v>
      </c>
      <c r="C8" s="17">
        <f t="shared" ref="C8:BI8" si="1">B10</f>
        <v>1</v>
      </c>
      <c r="D8" s="17">
        <f t="shared" si="1"/>
        <v>3</v>
      </c>
      <c r="E8" s="17">
        <f t="shared" si="1"/>
        <v>5</v>
      </c>
      <c r="F8" s="17">
        <f t="shared" si="1"/>
        <v>7</v>
      </c>
      <c r="G8" s="17">
        <f t="shared" si="1"/>
        <v>9</v>
      </c>
      <c r="H8" s="17">
        <f t="shared" si="1"/>
        <v>11</v>
      </c>
      <c r="I8" s="17">
        <f t="shared" si="1"/>
        <v>16</v>
      </c>
      <c r="J8" s="17">
        <f t="shared" si="1"/>
        <v>21</v>
      </c>
      <c r="K8" s="17">
        <f t="shared" si="1"/>
        <v>26</v>
      </c>
      <c r="L8" s="17">
        <f t="shared" si="1"/>
        <v>31</v>
      </c>
      <c r="M8" s="17">
        <f t="shared" si="1"/>
        <v>36</v>
      </c>
      <c r="N8" s="17">
        <f t="shared" si="1"/>
        <v>41</v>
      </c>
      <c r="O8" s="17">
        <f t="shared" si="1"/>
        <v>46</v>
      </c>
      <c r="P8" s="17">
        <f t="shared" si="1"/>
        <v>51</v>
      </c>
      <c r="Q8" s="17">
        <f t="shared" si="1"/>
        <v>55</v>
      </c>
      <c r="R8" s="17">
        <f t="shared" si="1"/>
        <v>59</v>
      </c>
      <c r="S8" s="17">
        <f t="shared" si="1"/>
        <v>63</v>
      </c>
      <c r="T8" s="17">
        <f t="shared" si="1"/>
        <v>67</v>
      </c>
      <c r="U8" s="17">
        <f t="shared" si="1"/>
        <v>72</v>
      </c>
      <c r="V8" s="17">
        <f t="shared" si="1"/>
        <v>77</v>
      </c>
      <c r="W8" s="17">
        <f t="shared" si="1"/>
        <v>82</v>
      </c>
      <c r="X8" s="17">
        <f t="shared" si="1"/>
        <v>87</v>
      </c>
      <c r="Y8" s="17">
        <f t="shared" si="1"/>
        <v>92</v>
      </c>
      <c r="Z8" s="17">
        <f t="shared" si="1"/>
        <v>97</v>
      </c>
      <c r="AA8" s="17">
        <f t="shared" si="1"/>
        <v>104</v>
      </c>
      <c r="AB8" s="17">
        <f t="shared" si="1"/>
        <v>110</v>
      </c>
      <c r="AC8" s="17">
        <f t="shared" si="1"/>
        <v>116</v>
      </c>
      <c r="AD8" s="17">
        <f t="shared" si="1"/>
        <v>122</v>
      </c>
      <c r="AE8" s="17">
        <f t="shared" si="1"/>
        <v>128</v>
      </c>
      <c r="AF8" s="17">
        <f t="shared" si="1"/>
        <v>134</v>
      </c>
      <c r="AG8" s="17">
        <f t="shared" si="1"/>
        <v>140</v>
      </c>
      <c r="AH8" s="17">
        <f t="shared" si="1"/>
        <v>146</v>
      </c>
      <c r="AI8" s="17">
        <f t="shared" si="1"/>
        <v>152</v>
      </c>
      <c r="AJ8" s="17">
        <f t="shared" si="1"/>
        <v>157</v>
      </c>
      <c r="AK8" s="17">
        <f t="shared" si="1"/>
        <v>162</v>
      </c>
      <c r="AL8" s="17">
        <f t="shared" si="1"/>
        <v>167</v>
      </c>
      <c r="AM8" s="17">
        <f t="shared" si="1"/>
        <v>174</v>
      </c>
      <c r="AN8" s="17">
        <f t="shared" si="1"/>
        <v>181</v>
      </c>
      <c r="AO8" s="17">
        <f t="shared" si="1"/>
        <v>188</v>
      </c>
      <c r="AP8" s="17">
        <f t="shared" si="1"/>
        <v>195</v>
      </c>
      <c r="AQ8" s="17">
        <f t="shared" si="1"/>
        <v>202</v>
      </c>
      <c r="AR8" s="17">
        <f t="shared" si="1"/>
        <v>208</v>
      </c>
      <c r="AS8" s="17">
        <f t="shared" si="1"/>
        <v>214</v>
      </c>
      <c r="AT8" s="17">
        <f t="shared" si="1"/>
        <v>220</v>
      </c>
      <c r="AU8" s="17">
        <f t="shared" si="1"/>
        <v>226</v>
      </c>
      <c r="AV8" s="17">
        <f t="shared" si="1"/>
        <v>232</v>
      </c>
      <c r="AW8" s="17">
        <f t="shared" si="1"/>
        <v>238</v>
      </c>
      <c r="AX8" s="17">
        <f t="shared" si="1"/>
        <v>244</v>
      </c>
      <c r="AY8" s="17">
        <f t="shared" si="1"/>
        <v>252</v>
      </c>
      <c r="AZ8" s="17">
        <f t="shared" si="1"/>
        <v>259</v>
      </c>
      <c r="BA8" s="17">
        <f t="shared" si="1"/>
        <v>266</v>
      </c>
      <c r="BB8" s="17">
        <f t="shared" si="1"/>
        <v>273</v>
      </c>
      <c r="BC8" s="17">
        <f t="shared" si="1"/>
        <v>280</v>
      </c>
      <c r="BD8" s="17">
        <f t="shared" si="1"/>
        <v>287</v>
      </c>
      <c r="BE8" s="17">
        <f t="shared" si="1"/>
        <v>294</v>
      </c>
      <c r="BF8" s="17">
        <f t="shared" si="1"/>
        <v>301</v>
      </c>
      <c r="BG8" s="17">
        <f t="shared" si="1"/>
        <v>307</v>
      </c>
      <c r="BH8" s="17">
        <f t="shared" si="1"/>
        <v>313</v>
      </c>
      <c r="BI8" s="17">
        <f t="shared" si="1"/>
        <v>319</v>
      </c>
    </row>
    <row r="9">
      <c r="A9" s="3" t="s">
        <v>174</v>
      </c>
      <c r="B9" s="3">
        <f>ROUNDDOWN(B8*'前提'!$B$8,0)</f>
        <v>0</v>
      </c>
      <c r="C9" s="3">
        <f>ROUNDDOWN(C8*'前提'!$B$8,0)</f>
        <v>0</v>
      </c>
      <c r="D9" s="3">
        <f>ROUNDDOWN(D8*'前提'!$B$8,0)</f>
        <v>0</v>
      </c>
      <c r="E9" s="3">
        <f>ROUNDDOWN(E8*'前提'!$B$8,0)</f>
        <v>0</v>
      </c>
      <c r="F9" s="3">
        <f>ROUNDDOWN(F8*'前提'!$B$8,0)</f>
        <v>0</v>
      </c>
      <c r="G9" s="3">
        <f>ROUNDDOWN(G8*'前提'!$B$8,0)</f>
        <v>0</v>
      </c>
      <c r="H9" s="3">
        <f>ROUNDDOWN(H8*'前提'!$B$8,0)</f>
        <v>0</v>
      </c>
      <c r="I9" s="3">
        <f>ROUNDDOWN(I8*'前提'!$B$8,0)</f>
        <v>0</v>
      </c>
      <c r="J9" s="3">
        <f>ROUNDDOWN(J8*'前提'!$B$8,0)</f>
        <v>0</v>
      </c>
      <c r="K9" s="3">
        <f>ROUNDDOWN(K8*'前提'!$B$8,0)</f>
        <v>0</v>
      </c>
      <c r="L9" s="3">
        <f>ROUNDDOWN(L8*'前提'!$B$8,0)</f>
        <v>0</v>
      </c>
      <c r="M9" s="3">
        <f>ROUNDDOWN(M8*'前提'!$B$8,0)</f>
        <v>0</v>
      </c>
      <c r="N9" s="3">
        <f>ROUNDDOWN(N8*'前提'!$B$8,0)</f>
        <v>0</v>
      </c>
      <c r="O9" s="3">
        <f>ROUNDDOWN(O8*'前提'!$B$8,0)</f>
        <v>0</v>
      </c>
      <c r="P9" s="3">
        <f>ROUNDDOWN(P8*'前提'!$B$8,0)</f>
        <v>1</v>
      </c>
      <c r="Q9" s="3">
        <f>ROUNDDOWN(Q8*'前提'!$B$8,0)</f>
        <v>1</v>
      </c>
      <c r="R9" s="3">
        <f>ROUNDDOWN(R8*'前提'!$B$8,0)</f>
        <v>1</v>
      </c>
      <c r="S9" s="3">
        <f>ROUNDDOWN(S8*'前提'!$B$8,0)</f>
        <v>1</v>
      </c>
      <c r="T9" s="3">
        <f>ROUNDDOWN(T8*'前提'!$B$8,0)</f>
        <v>1</v>
      </c>
      <c r="U9" s="3">
        <f>ROUNDDOWN(U8*'前提'!$B$8,0)</f>
        <v>1</v>
      </c>
      <c r="V9" s="3">
        <f>ROUNDDOWN(V8*'前提'!$B$8,0)</f>
        <v>1</v>
      </c>
      <c r="W9" s="3">
        <f>ROUNDDOWN(W8*'前提'!$B$8,0)</f>
        <v>1</v>
      </c>
      <c r="X9" s="3">
        <f>ROUNDDOWN(X8*'前提'!$B$8,0)</f>
        <v>1</v>
      </c>
      <c r="Y9" s="3">
        <f>ROUNDDOWN(Y8*'前提'!$B$8,0)</f>
        <v>1</v>
      </c>
      <c r="Z9" s="3">
        <f>ROUNDDOWN(Z8*'前提'!$B$8,0)</f>
        <v>1</v>
      </c>
      <c r="AA9" s="3">
        <f>ROUNDDOWN(AA8*'前提'!$B$8,0)</f>
        <v>2</v>
      </c>
      <c r="AB9" s="3">
        <f>ROUNDDOWN(AB8*'前提'!$B$8,0)</f>
        <v>2</v>
      </c>
      <c r="AC9" s="3">
        <f>ROUNDDOWN(AC8*'前提'!$B$8,0)</f>
        <v>2</v>
      </c>
      <c r="AD9" s="3">
        <f>ROUNDDOWN(AD8*'前提'!$B$8,0)</f>
        <v>2</v>
      </c>
      <c r="AE9" s="3">
        <f>ROUNDDOWN(AE8*'前提'!$B$8,0)</f>
        <v>2</v>
      </c>
      <c r="AF9" s="3">
        <f>ROUNDDOWN(AF8*'前提'!$B$8,0)</f>
        <v>2</v>
      </c>
      <c r="AG9" s="3">
        <f>ROUNDDOWN(AG8*'前提'!$B$8,0)</f>
        <v>2</v>
      </c>
      <c r="AH9" s="3">
        <f>ROUNDDOWN(AH8*'前提'!$B$8,0)</f>
        <v>2</v>
      </c>
      <c r="AI9" s="3">
        <f>ROUNDDOWN(AI8*'前提'!$B$8,0)</f>
        <v>3</v>
      </c>
      <c r="AJ9" s="3">
        <f>ROUNDDOWN(AJ8*'前提'!$B$8,0)</f>
        <v>3</v>
      </c>
      <c r="AK9" s="3">
        <f>ROUNDDOWN(AK8*'前提'!$B$8,0)</f>
        <v>3</v>
      </c>
      <c r="AL9" s="3">
        <f>ROUNDDOWN(AL8*'前提'!$B$8,0)</f>
        <v>3</v>
      </c>
      <c r="AM9" s="3">
        <f>ROUNDDOWN(AM8*'前提'!$B$8,0)</f>
        <v>3</v>
      </c>
      <c r="AN9" s="3">
        <f>ROUNDDOWN(AN8*'前提'!$B$8,0)</f>
        <v>3</v>
      </c>
      <c r="AO9" s="3">
        <f>ROUNDDOWN(AO8*'前提'!$B$8,0)</f>
        <v>3</v>
      </c>
      <c r="AP9" s="3">
        <f>ROUNDDOWN(AP8*'前提'!$B$8,0)</f>
        <v>3</v>
      </c>
      <c r="AQ9" s="3">
        <f>ROUNDDOWN(AQ8*'前提'!$B$8,0)</f>
        <v>4</v>
      </c>
      <c r="AR9" s="3">
        <f>ROUNDDOWN(AR8*'前提'!$B$8,0)</f>
        <v>4</v>
      </c>
      <c r="AS9" s="3">
        <f>ROUNDDOWN(AS8*'前提'!$B$8,0)</f>
        <v>4</v>
      </c>
      <c r="AT9" s="3">
        <f>ROUNDDOWN(AT8*'前提'!$B$8,0)</f>
        <v>4</v>
      </c>
      <c r="AU9" s="3">
        <f>ROUNDDOWN(AU8*'前提'!$B$8,0)</f>
        <v>4</v>
      </c>
      <c r="AV9" s="3">
        <f>ROUNDDOWN(AV8*'前提'!$B$8,0)</f>
        <v>4</v>
      </c>
      <c r="AW9" s="3">
        <f>ROUNDDOWN(AW8*'前提'!$B$8,0)</f>
        <v>4</v>
      </c>
      <c r="AX9" s="3">
        <f>ROUNDDOWN(AX8*'前提'!$B$8,0)</f>
        <v>4</v>
      </c>
      <c r="AY9" s="3">
        <f>ROUNDDOWN(AY8*'前提'!$B$8,0)</f>
        <v>5</v>
      </c>
      <c r="AZ9" s="3">
        <f>ROUNDDOWN(AZ8*'前提'!$B$8,0)</f>
        <v>5</v>
      </c>
      <c r="BA9" s="3">
        <f>ROUNDDOWN(BA8*'前提'!$B$8,0)</f>
        <v>5</v>
      </c>
      <c r="BB9" s="3">
        <f>ROUNDDOWN(BB8*'前提'!$B$8,0)</f>
        <v>5</v>
      </c>
      <c r="BC9" s="3">
        <f>ROUNDDOWN(BC8*'前提'!$B$8,0)</f>
        <v>5</v>
      </c>
      <c r="BD9" s="3">
        <f>ROUNDDOWN(BD8*'前提'!$B$8,0)</f>
        <v>5</v>
      </c>
      <c r="BE9" s="3">
        <f>ROUNDDOWN(BE8*'前提'!$B$8,0)</f>
        <v>5</v>
      </c>
      <c r="BF9" s="3">
        <f>ROUNDDOWN(BF8*'前提'!$B$8,0)</f>
        <v>6</v>
      </c>
      <c r="BG9" s="3">
        <f>ROUNDDOWN(BG8*'前提'!$B$8,0)</f>
        <v>6</v>
      </c>
      <c r="BH9" s="3">
        <f>ROUNDDOWN(BH8*'前提'!$B$8,0)</f>
        <v>6</v>
      </c>
      <c r="BI9" s="3">
        <f>ROUNDDOWN(BI8*'前提'!$B$8,0)</f>
        <v>6</v>
      </c>
    </row>
    <row r="10">
      <c r="A10" s="18" t="s">
        <v>175</v>
      </c>
      <c r="B10" s="19">
        <f t="shared" ref="B10:BI10" si="2">B8+B5-B9</f>
        <v>1</v>
      </c>
      <c r="C10" s="19">
        <f t="shared" si="2"/>
        <v>3</v>
      </c>
      <c r="D10" s="19">
        <f t="shared" si="2"/>
        <v>5</v>
      </c>
      <c r="E10" s="19">
        <f t="shared" si="2"/>
        <v>7</v>
      </c>
      <c r="F10" s="19">
        <f t="shared" si="2"/>
        <v>9</v>
      </c>
      <c r="G10" s="19">
        <f t="shared" si="2"/>
        <v>11</v>
      </c>
      <c r="H10" s="19">
        <f t="shared" si="2"/>
        <v>16</v>
      </c>
      <c r="I10" s="19">
        <f t="shared" si="2"/>
        <v>21</v>
      </c>
      <c r="J10" s="19">
        <f t="shared" si="2"/>
        <v>26</v>
      </c>
      <c r="K10" s="19">
        <f t="shared" si="2"/>
        <v>31</v>
      </c>
      <c r="L10" s="19">
        <f t="shared" si="2"/>
        <v>36</v>
      </c>
      <c r="M10" s="19">
        <f t="shared" si="2"/>
        <v>41</v>
      </c>
      <c r="N10" s="19">
        <f t="shared" si="2"/>
        <v>46</v>
      </c>
      <c r="O10" s="19">
        <f t="shared" si="2"/>
        <v>51</v>
      </c>
      <c r="P10" s="19">
        <f t="shared" si="2"/>
        <v>55</v>
      </c>
      <c r="Q10" s="19">
        <f t="shared" si="2"/>
        <v>59</v>
      </c>
      <c r="R10" s="19">
        <f t="shared" si="2"/>
        <v>63</v>
      </c>
      <c r="S10" s="19">
        <f t="shared" si="2"/>
        <v>67</v>
      </c>
      <c r="T10" s="19">
        <f t="shared" si="2"/>
        <v>72</v>
      </c>
      <c r="U10" s="19">
        <f t="shared" si="2"/>
        <v>77</v>
      </c>
      <c r="V10" s="19">
        <f t="shared" si="2"/>
        <v>82</v>
      </c>
      <c r="W10" s="19">
        <f t="shared" si="2"/>
        <v>87</v>
      </c>
      <c r="X10" s="19">
        <f t="shared" si="2"/>
        <v>92</v>
      </c>
      <c r="Y10" s="19">
        <f t="shared" si="2"/>
        <v>97</v>
      </c>
      <c r="Z10" s="19">
        <f t="shared" si="2"/>
        <v>104</v>
      </c>
      <c r="AA10" s="19">
        <f t="shared" si="2"/>
        <v>110</v>
      </c>
      <c r="AB10" s="19">
        <f t="shared" si="2"/>
        <v>116</v>
      </c>
      <c r="AC10" s="19">
        <f t="shared" si="2"/>
        <v>122</v>
      </c>
      <c r="AD10" s="19">
        <f t="shared" si="2"/>
        <v>128</v>
      </c>
      <c r="AE10" s="19">
        <f t="shared" si="2"/>
        <v>134</v>
      </c>
      <c r="AF10" s="19">
        <f t="shared" si="2"/>
        <v>140</v>
      </c>
      <c r="AG10" s="19">
        <f t="shared" si="2"/>
        <v>146</v>
      </c>
      <c r="AH10" s="19">
        <f t="shared" si="2"/>
        <v>152</v>
      </c>
      <c r="AI10" s="19">
        <f t="shared" si="2"/>
        <v>157</v>
      </c>
      <c r="AJ10" s="19">
        <f t="shared" si="2"/>
        <v>162</v>
      </c>
      <c r="AK10" s="19">
        <f t="shared" si="2"/>
        <v>167</v>
      </c>
      <c r="AL10" s="19">
        <f t="shared" si="2"/>
        <v>174</v>
      </c>
      <c r="AM10" s="19">
        <f t="shared" si="2"/>
        <v>181</v>
      </c>
      <c r="AN10" s="19">
        <f t="shared" si="2"/>
        <v>188</v>
      </c>
      <c r="AO10" s="19">
        <f t="shared" si="2"/>
        <v>195</v>
      </c>
      <c r="AP10" s="19">
        <f t="shared" si="2"/>
        <v>202</v>
      </c>
      <c r="AQ10" s="19">
        <f t="shared" si="2"/>
        <v>208</v>
      </c>
      <c r="AR10" s="19">
        <f t="shared" si="2"/>
        <v>214</v>
      </c>
      <c r="AS10" s="19">
        <f t="shared" si="2"/>
        <v>220</v>
      </c>
      <c r="AT10" s="19">
        <f t="shared" si="2"/>
        <v>226</v>
      </c>
      <c r="AU10" s="19">
        <f t="shared" si="2"/>
        <v>232</v>
      </c>
      <c r="AV10" s="19">
        <f t="shared" si="2"/>
        <v>238</v>
      </c>
      <c r="AW10" s="19">
        <f t="shared" si="2"/>
        <v>244</v>
      </c>
      <c r="AX10" s="19">
        <f t="shared" si="2"/>
        <v>252</v>
      </c>
      <c r="AY10" s="19">
        <f t="shared" si="2"/>
        <v>259</v>
      </c>
      <c r="AZ10" s="19">
        <f t="shared" si="2"/>
        <v>266</v>
      </c>
      <c r="BA10" s="19">
        <f t="shared" si="2"/>
        <v>273</v>
      </c>
      <c r="BB10" s="19">
        <f t="shared" si="2"/>
        <v>280</v>
      </c>
      <c r="BC10" s="19">
        <f t="shared" si="2"/>
        <v>287</v>
      </c>
      <c r="BD10" s="19">
        <f t="shared" si="2"/>
        <v>294</v>
      </c>
      <c r="BE10" s="19">
        <f t="shared" si="2"/>
        <v>301</v>
      </c>
      <c r="BF10" s="19">
        <f t="shared" si="2"/>
        <v>307</v>
      </c>
      <c r="BG10" s="19">
        <f t="shared" si="2"/>
        <v>313</v>
      </c>
      <c r="BH10" s="19">
        <f t="shared" si="2"/>
        <v>319</v>
      </c>
      <c r="BI10" s="19">
        <f t="shared" si="2"/>
        <v>325</v>
      </c>
    </row>
    <row r="11">
      <c r="A11" s="3" t="s">
        <v>176</v>
      </c>
      <c r="B11" s="3">
        <f>IF(1&gt;=7,ROUNDDOWN(B10*'前提'!$B$10,0),0)</f>
        <v>0</v>
      </c>
      <c r="C11" s="3">
        <f>IF(2&gt;=7,ROUNDDOWN(C10*'前提'!$B$10,0),0)</f>
        <v>0</v>
      </c>
      <c r="D11" s="3">
        <f>IF(3&gt;=7,ROUNDDOWN(D10*'前提'!$B$10,0),0)</f>
        <v>0</v>
      </c>
      <c r="E11" s="3">
        <f>IF(4&gt;=7,ROUNDDOWN(E10*'前提'!$B$10,0),0)</f>
        <v>0</v>
      </c>
      <c r="F11" s="3">
        <f>IF(5&gt;=7,ROUNDDOWN(F10*'前提'!$B$10,0),0)</f>
        <v>0</v>
      </c>
      <c r="G11" s="3">
        <f>IF(6&gt;=7,ROUNDDOWN(G10*'前提'!$B$10,0),0)</f>
        <v>0</v>
      </c>
      <c r="H11" s="3">
        <f>IF(7&gt;=7,ROUNDDOWN(H10*'前提'!$B$10,0),0)</f>
        <v>0</v>
      </c>
      <c r="I11" s="3">
        <f>IF(8&gt;=7,ROUNDDOWN(I10*'前提'!$B$10,0),0)</f>
        <v>1</v>
      </c>
      <c r="J11" s="3">
        <f>IF(9&gt;=7,ROUNDDOWN(J10*'前提'!$B$10,0),0)</f>
        <v>1</v>
      </c>
      <c r="K11" s="3">
        <f>IF(10&gt;=7,ROUNDDOWN(K10*'前提'!$B$10,0),0)</f>
        <v>1</v>
      </c>
      <c r="L11" s="3">
        <f>IF(11&gt;=7,ROUNDDOWN(L10*'前提'!$B$10,0),0)</f>
        <v>1</v>
      </c>
      <c r="M11" s="3">
        <f>IF(12&gt;=7,ROUNDDOWN(M10*'前提'!$B$10,0),0)</f>
        <v>2</v>
      </c>
      <c r="N11" s="3">
        <f>IF(13&gt;=7,ROUNDDOWN(N10*'前提'!$B$10,0),0)</f>
        <v>2</v>
      </c>
      <c r="O11" s="3">
        <f>IF(14&gt;=7,ROUNDDOWN(O10*'前提'!$B$10,0),0)</f>
        <v>2</v>
      </c>
      <c r="P11" s="3">
        <f>IF(15&gt;=7,ROUNDDOWN(P10*'前提'!$B$10,0),0)</f>
        <v>2</v>
      </c>
      <c r="Q11" s="3">
        <f>IF(16&gt;=7,ROUNDDOWN(Q10*'前提'!$B$10,0),0)</f>
        <v>2</v>
      </c>
      <c r="R11" s="3">
        <f>IF(17&gt;=7,ROUNDDOWN(R10*'前提'!$B$10,0),0)</f>
        <v>3</v>
      </c>
      <c r="S11" s="3">
        <f>IF(18&gt;=7,ROUNDDOWN(S10*'前提'!$B$10,0),0)</f>
        <v>3</v>
      </c>
      <c r="T11" s="3">
        <f>IF(19&gt;=7,ROUNDDOWN(T10*'前提'!$B$10,0),0)</f>
        <v>3</v>
      </c>
      <c r="U11" s="3">
        <f>IF(20&gt;=7,ROUNDDOWN(U10*'前提'!$B$10,0),0)</f>
        <v>3</v>
      </c>
      <c r="V11" s="3">
        <f>IF(21&gt;=7,ROUNDDOWN(V10*'前提'!$B$10,0),0)</f>
        <v>4</v>
      </c>
      <c r="W11" s="3">
        <f>IF(22&gt;=7,ROUNDDOWN(W10*'前提'!$B$10,0),0)</f>
        <v>4</v>
      </c>
      <c r="X11" s="3">
        <f>IF(23&gt;=7,ROUNDDOWN(X10*'前提'!$B$10,0),0)</f>
        <v>4</v>
      </c>
      <c r="Y11" s="3">
        <f>IF(24&gt;=7,ROUNDDOWN(Y10*'前提'!$B$10,0),0)</f>
        <v>4</v>
      </c>
      <c r="Z11" s="3">
        <f>IF(25&gt;=7,ROUNDDOWN(Z10*'前提'!$B$10,0),0)</f>
        <v>5</v>
      </c>
      <c r="AA11" s="3">
        <f>IF(26&gt;=7,ROUNDDOWN(AA10*'前提'!$B$10,0),0)</f>
        <v>5</v>
      </c>
      <c r="AB11" s="3">
        <f>IF(27&gt;=7,ROUNDDOWN(AB10*'前提'!$B$10,0),0)</f>
        <v>5</v>
      </c>
      <c r="AC11" s="3">
        <f>IF(28&gt;=7,ROUNDDOWN(AC10*'前提'!$B$10,0),0)</f>
        <v>6</v>
      </c>
      <c r="AD11" s="3">
        <f>IF(29&gt;=7,ROUNDDOWN(AD10*'前提'!$B$10,0),0)</f>
        <v>6</v>
      </c>
      <c r="AE11" s="3">
        <f>IF(30&gt;=7,ROUNDDOWN(AE10*'前提'!$B$10,0),0)</f>
        <v>6</v>
      </c>
      <c r="AF11" s="3">
        <f>IF(31&gt;=7,ROUNDDOWN(AF10*'前提'!$B$10,0),0)</f>
        <v>7</v>
      </c>
      <c r="AG11" s="3">
        <f>IF(32&gt;=7,ROUNDDOWN(AG10*'前提'!$B$10,0),0)</f>
        <v>7</v>
      </c>
      <c r="AH11" s="3">
        <f>IF(33&gt;=7,ROUNDDOWN(AH10*'前提'!$B$10,0),0)</f>
        <v>7</v>
      </c>
      <c r="AI11" s="3">
        <f>IF(34&gt;=7,ROUNDDOWN(AI10*'前提'!$B$10,0),0)</f>
        <v>7</v>
      </c>
      <c r="AJ11" s="3">
        <f>IF(35&gt;=7,ROUNDDOWN(AJ10*'前提'!$B$10,0),0)</f>
        <v>8</v>
      </c>
      <c r="AK11" s="3">
        <f>IF(36&gt;=7,ROUNDDOWN(AK10*'前提'!$B$10,0),0)</f>
        <v>8</v>
      </c>
      <c r="AL11" s="3">
        <f>IF(37&gt;=7,ROUNDDOWN(AL10*'前提'!$B$10,0),0)</f>
        <v>8</v>
      </c>
      <c r="AM11" s="3">
        <f>IF(38&gt;=7,ROUNDDOWN(AM10*'前提'!$B$10,0),0)</f>
        <v>9</v>
      </c>
      <c r="AN11" s="3">
        <f>IF(39&gt;=7,ROUNDDOWN(AN10*'前提'!$B$10,0),0)</f>
        <v>9</v>
      </c>
      <c r="AO11" s="3">
        <f>IF(40&gt;=7,ROUNDDOWN(AO10*'前提'!$B$10,0),0)</f>
        <v>9</v>
      </c>
      <c r="AP11" s="3">
        <f>IF(41&gt;=7,ROUNDDOWN(AP10*'前提'!$B$10,0),0)</f>
        <v>10</v>
      </c>
      <c r="AQ11" s="3">
        <f>IF(42&gt;=7,ROUNDDOWN(AQ10*'前提'!$B$10,0),0)</f>
        <v>10</v>
      </c>
      <c r="AR11" s="3">
        <f>IF(43&gt;=7,ROUNDDOWN(AR10*'前提'!$B$10,0),0)</f>
        <v>10</v>
      </c>
      <c r="AS11" s="3">
        <f>IF(44&gt;=7,ROUNDDOWN(AS10*'前提'!$B$10,0),0)</f>
        <v>11</v>
      </c>
      <c r="AT11" s="3">
        <f>IF(45&gt;=7,ROUNDDOWN(AT10*'前提'!$B$10,0),0)</f>
        <v>11</v>
      </c>
      <c r="AU11" s="3">
        <f>IF(46&gt;=7,ROUNDDOWN(AU10*'前提'!$B$10,0),0)</f>
        <v>11</v>
      </c>
      <c r="AV11" s="3">
        <f>IF(47&gt;=7,ROUNDDOWN(AV10*'前提'!$B$10,0),0)</f>
        <v>11</v>
      </c>
      <c r="AW11" s="3">
        <f>IF(48&gt;=7,ROUNDDOWN(AW10*'前提'!$B$10,0),0)</f>
        <v>12</v>
      </c>
      <c r="AX11" s="3">
        <f>IF(49&gt;=7,ROUNDDOWN(AX10*'前提'!$B$10,0),0)</f>
        <v>12</v>
      </c>
      <c r="AY11" s="3">
        <f>IF(50&gt;=7,ROUNDDOWN(AY10*'前提'!$B$10,0),0)</f>
        <v>12</v>
      </c>
      <c r="AZ11" s="3">
        <f>IF(51&gt;=7,ROUNDDOWN(AZ10*'前提'!$B$10,0),0)</f>
        <v>13</v>
      </c>
      <c r="BA11" s="3">
        <f>IF(52&gt;=7,ROUNDDOWN(BA10*'前提'!$B$10,0),0)</f>
        <v>13</v>
      </c>
      <c r="BB11" s="3">
        <f>IF(53&gt;=7,ROUNDDOWN(BB10*'前提'!$B$10,0),0)</f>
        <v>14</v>
      </c>
      <c r="BC11" s="3">
        <f>IF(54&gt;=7,ROUNDDOWN(BC10*'前提'!$B$10,0),0)</f>
        <v>14</v>
      </c>
      <c r="BD11" s="3">
        <f>IF(55&gt;=7,ROUNDDOWN(BD10*'前提'!$B$10,0),0)</f>
        <v>14</v>
      </c>
      <c r="BE11" s="3">
        <f>IF(56&gt;=7,ROUNDDOWN(BE10*'前提'!$B$10,0),0)</f>
        <v>15</v>
      </c>
      <c r="BF11" s="3">
        <f>IF(57&gt;=7,ROUNDDOWN(BF10*'前提'!$B$10,0),0)</f>
        <v>15</v>
      </c>
      <c r="BG11" s="3">
        <f>IF(58&gt;=7,ROUNDDOWN(BG10*'前提'!$B$10,0),0)</f>
        <v>15</v>
      </c>
      <c r="BH11" s="3">
        <f>IF(59&gt;=7,ROUNDDOWN(BH10*'前提'!$B$10,0),0)</f>
        <v>15</v>
      </c>
      <c r="BI11" s="3">
        <f>IF(60&gt;=7,ROUNDDOWN(BI10*'前提'!$B$10,0),0)</f>
        <v>16</v>
      </c>
    </row>
    <row r="12">
      <c r="A12" s="3" t="s">
        <v>177</v>
      </c>
      <c r="B12" s="3">
        <f>ROUNDDOWN(B13*'前提'!$B$9,0)</f>
        <v>0</v>
      </c>
      <c r="C12" s="3">
        <f>ROUNDDOWN(C13*'前提'!$B$9,0)</f>
        <v>0</v>
      </c>
      <c r="D12" s="3">
        <f>ROUNDDOWN(D13*'前提'!$B$9,0)</f>
        <v>0</v>
      </c>
      <c r="E12" s="3">
        <f>ROUNDDOWN(E13*'前提'!$B$9,0)</f>
        <v>0</v>
      </c>
      <c r="F12" s="3">
        <f>ROUNDDOWN(F13*'前提'!$B$9,0)</f>
        <v>0</v>
      </c>
      <c r="G12" s="3">
        <f>ROUNDDOWN(G13*'前提'!$B$9,0)</f>
        <v>0</v>
      </c>
      <c r="H12" s="3">
        <f>ROUNDDOWN(H13*'前提'!$B$9,0)</f>
        <v>0</v>
      </c>
      <c r="I12" s="3">
        <f>ROUNDDOWN(I13*'前提'!$B$9,0)</f>
        <v>0</v>
      </c>
      <c r="J12" s="3">
        <f>ROUNDDOWN(J13*'前提'!$B$9,0)</f>
        <v>0</v>
      </c>
      <c r="K12" s="3">
        <f>ROUNDDOWN(K13*'前提'!$B$9,0)</f>
        <v>0</v>
      </c>
      <c r="L12" s="3">
        <f>ROUNDDOWN(L13*'前提'!$B$9,0)</f>
        <v>0</v>
      </c>
      <c r="M12" s="3">
        <f>ROUNDDOWN(M13*'前提'!$B$9,0)</f>
        <v>0</v>
      </c>
      <c r="N12" s="3">
        <f>ROUNDDOWN(N13*'前提'!$B$9,0)</f>
        <v>0</v>
      </c>
      <c r="O12" s="3">
        <f>ROUNDDOWN(O13*'前提'!$B$9,0)</f>
        <v>0</v>
      </c>
      <c r="P12" s="3">
        <f>ROUNDDOWN(P13*'前提'!$B$9,0)</f>
        <v>0</v>
      </c>
      <c r="Q12" s="3">
        <f>ROUNDDOWN(Q13*'前提'!$B$9,0)</f>
        <v>0</v>
      </c>
      <c r="R12" s="3">
        <f>ROUNDDOWN(R13*'前提'!$B$9,0)</f>
        <v>0</v>
      </c>
      <c r="S12" s="3">
        <f>ROUNDDOWN(S13*'前提'!$B$9,0)</f>
        <v>0</v>
      </c>
      <c r="T12" s="3">
        <f>ROUNDDOWN(T13*'前提'!$B$9,0)</f>
        <v>0</v>
      </c>
      <c r="U12" s="3">
        <f>ROUNDDOWN(U13*'前提'!$B$9,0)</f>
        <v>0</v>
      </c>
      <c r="V12" s="3">
        <f>ROUNDDOWN(V13*'前提'!$B$9,0)</f>
        <v>0</v>
      </c>
      <c r="W12" s="3">
        <f>ROUNDDOWN(W13*'前提'!$B$9,0)</f>
        <v>0</v>
      </c>
      <c r="X12" s="3">
        <f>ROUNDDOWN(X13*'前提'!$B$9,0)</f>
        <v>0</v>
      </c>
      <c r="Y12" s="3">
        <f>ROUNDDOWN(Y13*'前提'!$B$9,0)</f>
        <v>0</v>
      </c>
      <c r="Z12" s="3">
        <f>ROUNDDOWN(Z13*'前提'!$B$9,0)</f>
        <v>0</v>
      </c>
      <c r="AA12" s="3">
        <f>ROUNDDOWN(AA13*'前提'!$B$9,0)</f>
        <v>0</v>
      </c>
      <c r="AB12" s="3">
        <f>ROUNDDOWN(AB13*'前提'!$B$9,0)</f>
        <v>0</v>
      </c>
      <c r="AC12" s="3">
        <f>ROUNDDOWN(AC13*'前提'!$B$9,0)</f>
        <v>0</v>
      </c>
      <c r="AD12" s="3">
        <f>ROUNDDOWN(AD13*'前提'!$B$9,0)</f>
        <v>0</v>
      </c>
      <c r="AE12" s="3">
        <f>ROUNDDOWN(AE13*'前提'!$B$9,0)</f>
        <v>0</v>
      </c>
      <c r="AF12" s="3">
        <f>ROUNDDOWN(AF13*'前提'!$B$9,0)</f>
        <v>0</v>
      </c>
      <c r="AG12" s="3">
        <f>ROUNDDOWN(AG13*'前提'!$B$9,0)</f>
        <v>0</v>
      </c>
      <c r="AH12" s="3">
        <f>ROUNDDOWN(AH13*'前提'!$B$9,0)</f>
        <v>0</v>
      </c>
      <c r="AI12" s="3">
        <f>ROUNDDOWN(AI13*'前提'!$B$9,0)</f>
        <v>0</v>
      </c>
      <c r="AJ12" s="3">
        <f>ROUNDDOWN(AJ13*'前提'!$B$9,0)</f>
        <v>1</v>
      </c>
      <c r="AK12" s="3">
        <f>ROUNDDOWN(AK13*'前提'!$B$9,0)</f>
        <v>1</v>
      </c>
      <c r="AL12" s="3">
        <f>ROUNDDOWN(AL13*'前提'!$B$9,0)</f>
        <v>1</v>
      </c>
      <c r="AM12" s="3">
        <f>ROUNDDOWN(AM13*'前提'!$B$9,0)</f>
        <v>1</v>
      </c>
      <c r="AN12" s="3">
        <f>ROUNDDOWN(AN13*'前提'!$B$9,0)</f>
        <v>1</v>
      </c>
      <c r="AO12" s="3">
        <f>ROUNDDOWN(AO13*'前提'!$B$9,0)</f>
        <v>1</v>
      </c>
      <c r="AP12" s="3">
        <f>ROUNDDOWN(AP13*'前提'!$B$9,0)</f>
        <v>1</v>
      </c>
      <c r="AQ12" s="3">
        <f>ROUNDDOWN(AQ13*'前提'!$B$9,0)</f>
        <v>1</v>
      </c>
      <c r="AR12" s="3">
        <f>ROUNDDOWN(AR13*'前提'!$B$9,0)</f>
        <v>1</v>
      </c>
      <c r="AS12" s="3">
        <f>ROUNDDOWN(AS13*'前提'!$B$9,0)</f>
        <v>1</v>
      </c>
      <c r="AT12" s="3">
        <f>ROUNDDOWN(AT13*'前提'!$B$9,0)</f>
        <v>1</v>
      </c>
      <c r="AU12" s="3">
        <f>ROUNDDOWN(AU13*'前提'!$B$9,0)</f>
        <v>1</v>
      </c>
      <c r="AV12" s="3">
        <f>ROUNDDOWN(AV13*'前提'!$B$9,0)</f>
        <v>2</v>
      </c>
      <c r="AW12" s="3">
        <f>ROUNDDOWN(AW13*'前提'!$B$9,0)</f>
        <v>2</v>
      </c>
      <c r="AX12" s="3">
        <f>ROUNDDOWN(AX13*'前提'!$B$9,0)</f>
        <v>2</v>
      </c>
      <c r="AY12" s="3">
        <f>ROUNDDOWN(AY13*'前提'!$B$9,0)</f>
        <v>2</v>
      </c>
      <c r="AZ12" s="3">
        <f>ROUNDDOWN(AZ13*'前提'!$B$9,0)</f>
        <v>2</v>
      </c>
      <c r="BA12" s="3">
        <f>ROUNDDOWN(BA13*'前提'!$B$9,0)</f>
        <v>2</v>
      </c>
      <c r="BB12" s="3">
        <f>ROUNDDOWN(BB13*'前提'!$B$9,0)</f>
        <v>2</v>
      </c>
      <c r="BC12" s="3">
        <f>ROUNDDOWN(BC13*'前提'!$B$9,0)</f>
        <v>2</v>
      </c>
      <c r="BD12" s="3">
        <f>ROUNDDOWN(BD13*'前提'!$B$9,0)</f>
        <v>2</v>
      </c>
      <c r="BE12" s="3">
        <f>ROUNDDOWN(BE13*'前提'!$B$9,0)</f>
        <v>3</v>
      </c>
      <c r="BF12" s="3">
        <f>ROUNDDOWN(BF13*'前提'!$B$9,0)</f>
        <v>3</v>
      </c>
      <c r="BG12" s="3">
        <f>ROUNDDOWN(BG13*'前提'!$B$9,0)</f>
        <v>3</v>
      </c>
      <c r="BH12" s="3">
        <f>ROUNDDOWN(BH13*'前提'!$B$9,0)</f>
        <v>3</v>
      </c>
      <c r="BI12" s="3">
        <f>ROUNDDOWN(BI13*'前提'!$B$9,0)</f>
        <v>3</v>
      </c>
    </row>
    <row r="13">
      <c r="A13" s="3" t="s">
        <v>178</v>
      </c>
      <c r="B13" s="8">
        <v>0.0</v>
      </c>
      <c r="C13" s="17">
        <f t="shared" ref="C13:BI13" si="3">B14</f>
        <v>0</v>
      </c>
      <c r="D13" s="17">
        <f t="shared" si="3"/>
        <v>0</v>
      </c>
      <c r="E13" s="17">
        <f t="shared" si="3"/>
        <v>0</v>
      </c>
      <c r="F13" s="17">
        <f t="shared" si="3"/>
        <v>0</v>
      </c>
      <c r="G13" s="17">
        <f t="shared" si="3"/>
        <v>0</v>
      </c>
      <c r="H13" s="17">
        <f t="shared" si="3"/>
        <v>0</v>
      </c>
      <c r="I13" s="17">
        <f t="shared" si="3"/>
        <v>0</v>
      </c>
      <c r="J13" s="17">
        <f t="shared" si="3"/>
        <v>1</v>
      </c>
      <c r="K13" s="17">
        <f t="shared" si="3"/>
        <v>2</v>
      </c>
      <c r="L13" s="17">
        <f t="shared" si="3"/>
        <v>3</v>
      </c>
      <c r="M13" s="17">
        <f t="shared" si="3"/>
        <v>4</v>
      </c>
      <c r="N13" s="17">
        <f t="shared" si="3"/>
        <v>6</v>
      </c>
      <c r="O13" s="17">
        <f t="shared" si="3"/>
        <v>8</v>
      </c>
      <c r="P13" s="17">
        <f t="shared" si="3"/>
        <v>10</v>
      </c>
      <c r="Q13" s="17">
        <f t="shared" si="3"/>
        <v>12</v>
      </c>
      <c r="R13" s="17">
        <f t="shared" si="3"/>
        <v>14</v>
      </c>
      <c r="S13" s="17">
        <f t="shared" si="3"/>
        <v>17</v>
      </c>
      <c r="T13" s="17">
        <f t="shared" si="3"/>
        <v>20</v>
      </c>
      <c r="U13" s="17">
        <f t="shared" si="3"/>
        <v>23</v>
      </c>
      <c r="V13" s="17">
        <f t="shared" si="3"/>
        <v>26</v>
      </c>
      <c r="W13" s="17">
        <f t="shared" si="3"/>
        <v>30</v>
      </c>
      <c r="X13" s="17">
        <f t="shared" si="3"/>
        <v>34</v>
      </c>
      <c r="Y13" s="17">
        <f t="shared" si="3"/>
        <v>38</v>
      </c>
      <c r="Z13" s="17">
        <f t="shared" si="3"/>
        <v>42</v>
      </c>
      <c r="AA13" s="17">
        <f t="shared" si="3"/>
        <v>47</v>
      </c>
      <c r="AB13" s="17">
        <f t="shared" si="3"/>
        <v>52</v>
      </c>
      <c r="AC13" s="17">
        <f t="shared" si="3"/>
        <v>57</v>
      </c>
      <c r="AD13" s="17">
        <f t="shared" si="3"/>
        <v>63</v>
      </c>
      <c r="AE13" s="17">
        <f t="shared" si="3"/>
        <v>69</v>
      </c>
      <c r="AF13" s="17">
        <f t="shared" si="3"/>
        <v>75</v>
      </c>
      <c r="AG13" s="17">
        <f t="shared" si="3"/>
        <v>82</v>
      </c>
      <c r="AH13" s="17">
        <f t="shared" si="3"/>
        <v>89</v>
      </c>
      <c r="AI13" s="17">
        <f t="shared" si="3"/>
        <v>96</v>
      </c>
      <c r="AJ13" s="17">
        <f t="shared" si="3"/>
        <v>103</v>
      </c>
      <c r="AK13" s="17">
        <f t="shared" si="3"/>
        <v>110</v>
      </c>
      <c r="AL13" s="17">
        <f t="shared" si="3"/>
        <v>117</v>
      </c>
      <c r="AM13" s="17">
        <f t="shared" si="3"/>
        <v>124</v>
      </c>
      <c r="AN13" s="17">
        <f t="shared" si="3"/>
        <v>132</v>
      </c>
      <c r="AO13" s="17">
        <f t="shared" si="3"/>
        <v>140</v>
      </c>
      <c r="AP13" s="17">
        <f t="shared" si="3"/>
        <v>148</v>
      </c>
      <c r="AQ13" s="17">
        <f t="shared" si="3"/>
        <v>157</v>
      </c>
      <c r="AR13" s="17">
        <f t="shared" si="3"/>
        <v>166</v>
      </c>
      <c r="AS13" s="17">
        <f t="shared" si="3"/>
        <v>175</v>
      </c>
      <c r="AT13" s="17">
        <f t="shared" si="3"/>
        <v>185</v>
      </c>
      <c r="AU13" s="17">
        <f t="shared" si="3"/>
        <v>195</v>
      </c>
      <c r="AV13" s="17">
        <f t="shared" si="3"/>
        <v>205</v>
      </c>
      <c r="AW13" s="17">
        <f t="shared" si="3"/>
        <v>214</v>
      </c>
      <c r="AX13" s="17">
        <f t="shared" si="3"/>
        <v>224</v>
      </c>
      <c r="AY13" s="17">
        <f t="shared" si="3"/>
        <v>234</v>
      </c>
      <c r="AZ13" s="17">
        <f t="shared" si="3"/>
        <v>244</v>
      </c>
      <c r="BA13" s="17">
        <f t="shared" si="3"/>
        <v>255</v>
      </c>
      <c r="BB13" s="17">
        <f t="shared" si="3"/>
        <v>266</v>
      </c>
      <c r="BC13" s="17">
        <f t="shared" si="3"/>
        <v>278</v>
      </c>
      <c r="BD13" s="17">
        <f t="shared" si="3"/>
        <v>290</v>
      </c>
      <c r="BE13" s="17">
        <f t="shared" si="3"/>
        <v>302</v>
      </c>
      <c r="BF13" s="17">
        <f t="shared" si="3"/>
        <v>314</v>
      </c>
      <c r="BG13" s="17">
        <f t="shared" si="3"/>
        <v>326</v>
      </c>
      <c r="BH13" s="17">
        <f t="shared" si="3"/>
        <v>338</v>
      </c>
      <c r="BI13" s="17">
        <f t="shared" si="3"/>
        <v>350</v>
      </c>
    </row>
    <row r="14">
      <c r="A14" s="18" t="s">
        <v>179</v>
      </c>
      <c r="B14" s="19">
        <f t="shared" ref="B14:BI14" si="4">B13+B11-B12</f>
        <v>0</v>
      </c>
      <c r="C14" s="19">
        <f t="shared" si="4"/>
        <v>0</v>
      </c>
      <c r="D14" s="19">
        <f t="shared" si="4"/>
        <v>0</v>
      </c>
      <c r="E14" s="19">
        <f t="shared" si="4"/>
        <v>0</v>
      </c>
      <c r="F14" s="19">
        <f t="shared" si="4"/>
        <v>0</v>
      </c>
      <c r="G14" s="19">
        <f t="shared" si="4"/>
        <v>0</v>
      </c>
      <c r="H14" s="19">
        <f t="shared" si="4"/>
        <v>0</v>
      </c>
      <c r="I14" s="19">
        <f t="shared" si="4"/>
        <v>1</v>
      </c>
      <c r="J14" s="19">
        <f t="shared" si="4"/>
        <v>2</v>
      </c>
      <c r="K14" s="19">
        <f t="shared" si="4"/>
        <v>3</v>
      </c>
      <c r="L14" s="19">
        <f t="shared" si="4"/>
        <v>4</v>
      </c>
      <c r="M14" s="19">
        <f t="shared" si="4"/>
        <v>6</v>
      </c>
      <c r="N14" s="19">
        <f t="shared" si="4"/>
        <v>8</v>
      </c>
      <c r="O14" s="19">
        <f t="shared" si="4"/>
        <v>10</v>
      </c>
      <c r="P14" s="19">
        <f t="shared" si="4"/>
        <v>12</v>
      </c>
      <c r="Q14" s="19">
        <f t="shared" si="4"/>
        <v>14</v>
      </c>
      <c r="R14" s="19">
        <f t="shared" si="4"/>
        <v>17</v>
      </c>
      <c r="S14" s="19">
        <f t="shared" si="4"/>
        <v>20</v>
      </c>
      <c r="T14" s="19">
        <f t="shared" si="4"/>
        <v>23</v>
      </c>
      <c r="U14" s="19">
        <f t="shared" si="4"/>
        <v>26</v>
      </c>
      <c r="V14" s="19">
        <f t="shared" si="4"/>
        <v>30</v>
      </c>
      <c r="W14" s="19">
        <f t="shared" si="4"/>
        <v>34</v>
      </c>
      <c r="X14" s="19">
        <f t="shared" si="4"/>
        <v>38</v>
      </c>
      <c r="Y14" s="19">
        <f t="shared" si="4"/>
        <v>42</v>
      </c>
      <c r="Z14" s="19">
        <f t="shared" si="4"/>
        <v>47</v>
      </c>
      <c r="AA14" s="19">
        <f t="shared" si="4"/>
        <v>52</v>
      </c>
      <c r="AB14" s="19">
        <f t="shared" si="4"/>
        <v>57</v>
      </c>
      <c r="AC14" s="19">
        <f t="shared" si="4"/>
        <v>63</v>
      </c>
      <c r="AD14" s="19">
        <f t="shared" si="4"/>
        <v>69</v>
      </c>
      <c r="AE14" s="19">
        <f t="shared" si="4"/>
        <v>75</v>
      </c>
      <c r="AF14" s="19">
        <f t="shared" si="4"/>
        <v>82</v>
      </c>
      <c r="AG14" s="19">
        <f t="shared" si="4"/>
        <v>89</v>
      </c>
      <c r="AH14" s="19">
        <f t="shared" si="4"/>
        <v>96</v>
      </c>
      <c r="AI14" s="19">
        <f t="shared" si="4"/>
        <v>103</v>
      </c>
      <c r="AJ14" s="19">
        <f t="shared" si="4"/>
        <v>110</v>
      </c>
      <c r="AK14" s="19">
        <f t="shared" si="4"/>
        <v>117</v>
      </c>
      <c r="AL14" s="19">
        <f t="shared" si="4"/>
        <v>124</v>
      </c>
      <c r="AM14" s="19">
        <f t="shared" si="4"/>
        <v>132</v>
      </c>
      <c r="AN14" s="19">
        <f t="shared" si="4"/>
        <v>140</v>
      </c>
      <c r="AO14" s="19">
        <f t="shared" si="4"/>
        <v>148</v>
      </c>
      <c r="AP14" s="19">
        <f t="shared" si="4"/>
        <v>157</v>
      </c>
      <c r="AQ14" s="19">
        <f t="shared" si="4"/>
        <v>166</v>
      </c>
      <c r="AR14" s="19">
        <f t="shared" si="4"/>
        <v>175</v>
      </c>
      <c r="AS14" s="19">
        <f t="shared" si="4"/>
        <v>185</v>
      </c>
      <c r="AT14" s="19">
        <f t="shared" si="4"/>
        <v>195</v>
      </c>
      <c r="AU14" s="19">
        <f t="shared" si="4"/>
        <v>205</v>
      </c>
      <c r="AV14" s="19">
        <f t="shared" si="4"/>
        <v>214</v>
      </c>
      <c r="AW14" s="19">
        <f t="shared" si="4"/>
        <v>224</v>
      </c>
      <c r="AX14" s="19">
        <f t="shared" si="4"/>
        <v>234</v>
      </c>
      <c r="AY14" s="19">
        <f t="shared" si="4"/>
        <v>244</v>
      </c>
      <c r="AZ14" s="19">
        <f t="shared" si="4"/>
        <v>255</v>
      </c>
      <c r="BA14" s="19">
        <f t="shared" si="4"/>
        <v>266</v>
      </c>
      <c r="BB14" s="19">
        <f t="shared" si="4"/>
        <v>278</v>
      </c>
      <c r="BC14" s="19">
        <f t="shared" si="4"/>
        <v>290</v>
      </c>
      <c r="BD14" s="19">
        <f t="shared" si="4"/>
        <v>302</v>
      </c>
      <c r="BE14" s="19">
        <f t="shared" si="4"/>
        <v>314</v>
      </c>
      <c r="BF14" s="19">
        <f t="shared" si="4"/>
        <v>326</v>
      </c>
      <c r="BG14" s="19">
        <f t="shared" si="4"/>
        <v>338</v>
      </c>
      <c r="BH14" s="19">
        <f t="shared" si="4"/>
        <v>350</v>
      </c>
      <c r="BI14" s="19">
        <f t="shared" si="4"/>
        <v>363</v>
      </c>
    </row>
    <row r="16">
      <c r="A16" s="2" t="s">
        <v>180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</row>
    <row r="17">
      <c r="A17" s="3" t="s">
        <v>181</v>
      </c>
      <c r="B17" s="17">
        <f>B10*'前提'!$B$4</f>
        <v>11500</v>
      </c>
      <c r="C17" s="17">
        <f>C10*'前提'!$B$4</f>
        <v>34500</v>
      </c>
      <c r="D17" s="17">
        <f>D10*'前提'!$B$4</f>
        <v>57500</v>
      </c>
      <c r="E17" s="17">
        <f>E10*'前提'!$B$4</f>
        <v>80500</v>
      </c>
      <c r="F17" s="17">
        <f>F10*'前提'!$B$4</f>
        <v>103500</v>
      </c>
      <c r="G17" s="17">
        <f>G10*'前提'!$B$4</f>
        <v>126500</v>
      </c>
      <c r="H17" s="17">
        <f>H10*'前提'!$B$4</f>
        <v>184000</v>
      </c>
      <c r="I17" s="17">
        <f>I10*'前提'!$B$4</f>
        <v>241500</v>
      </c>
      <c r="J17" s="17">
        <f>J10*'前提'!$B$4</f>
        <v>299000</v>
      </c>
      <c r="K17" s="17">
        <f>K10*'前提'!$B$4</f>
        <v>356500</v>
      </c>
      <c r="L17" s="17">
        <f>L10*'前提'!$B$4</f>
        <v>414000</v>
      </c>
      <c r="M17" s="17">
        <f>M10*'前提'!$B$4</f>
        <v>471500</v>
      </c>
      <c r="N17" s="17">
        <f>N10*'前提'!$B$4</f>
        <v>529000</v>
      </c>
      <c r="O17" s="17">
        <f>O10*'前提'!$B$4</f>
        <v>586500</v>
      </c>
      <c r="P17" s="17">
        <f>P10*'前提'!$B$4</f>
        <v>632500</v>
      </c>
      <c r="Q17" s="17">
        <f>Q10*'前提'!$B$4</f>
        <v>678500</v>
      </c>
      <c r="R17" s="17">
        <f>R10*'前提'!$B$4</f>
        <v>724500</v>
      </c>
      <c r="S17" s="17">
        <f>S10*'前提'!$B$4</f>
        <v>770500</v>
      </c>
      <c r="T17" s="17">
        <f>T10*'前提'!$B$4</f>
        <v>828000</v>
      </c>
      <c r="U17" s="17">
        <f>U10*'前提'!$B$4</f>
        <v>885500</v>
      </c>
      <c r="V17" s="17">
        <f>V10*'前提'!$B$4</f>
        <v>943000</v>
      </c>
      <c r="W17" s="17">
        <f>W10*'前提'!$B$4</f>
        <v>1000500</v>
      </c>
      <c r="X17" s="17">
        <f>X10*'前提'!$B$4</f>
        <v>1058000</v>
      </c>
      <c r="Y17" s="17">
        <f>Y10*'前提'!$B$4</f>
        <v>1115500</v>
      </c>
      <c r="Z17" s="17">
        <f>Z10*'前提'!$B$4</f>
        <v>1196000</v>
      </c>
      <c r="AA17" s="17">
        <f>AA10*'前提'!$B$4</f>
        <v>1265000</v>
      </c>
      <c r="AB17" s="17">
        <f>AB10*'前提'!$B$4</f>
        <v>1334000</v>
      </c>
      <c r="AC17" s="17">
        <f>AC10*'前提'!$B$4</f>
        <v>1403000</v>
      </c>
      <c r="AD17" s="17">
        <f>AD10*'前提'!$B$4</f>
        <v>1472000</v>
      </c>
      <c r="AE17" s="17">
        <f>AE10*'前提'!$B$4</f>
        <v>1541000</v>
      </c>
      <c r="AF17" s="17">
        <f>AF10*'前提'!$B$4</f>
        <v>1610000</v>
      </c>
      <c r="AG17" s="17">
        <f>AG10*'前提'!$B$4</f>
        <v>1679000</v>
      </c>
      <c r="AH17" s="17">
        <f>AH10*'前提'!$B$4</f>
        <v>1748000</v>
      </c>
      <c r="AI17" s="17">
        <f>AI10*'前提'!$B$4</f>
        <v>1805500</v>
      </c>
      <c r="AJ17" s="17">
        <f>AJ10*'前提'!$B$4</f>
        <v>1863000</v>
      </c>
      <c r="AK17" s="17">
        <f>AK10*'前提'!$B$4</f>
        <v>1920500</v>
      </c>
      <c r="AL17" s="17">
        <f>AL10*'前提'!$B$4</f>
        <v>2001000</v>
      </c>
      <c r="AM17" s="17">
        <f>AM10*'前提'!$B$4</f>
        <v>2081500</v>
      </c>
      <c r="AN17" s="17">
        <f>AN10*'前提'!$B$4</f>
        <v>2162000</v>
      </c>
      <c r="AO17" s="17">
        <f>AO10*'前提'!$B$4</f>
        <v>2242500</v>
      </c>
      <c r="AP17" s="17">
        <f>AP10*'前提'!$B$4</f>
        <v>2323000</v>
      </c>
      <c r="AQ17" s="17">
        <f>AQ10*'前提'!$B$4</f>
        <v>2392000</v>
      </c>
      <c r="AR17" s="17">
        <f>AR10*'前提'!$B$4</f>
        <v>2461000</v>
      </c>
      <c r="AS17" s="17">
        <f>AS10*'前提'!$B$4</f>
        <v>2530000</v>
      </c>
      <c r="AT17" s="17">
        <f>AT10*'前提'!$B$4</f>
        <v>2599000</v>
      </c>
      <c r="AU17" s="17">
        <f>AU10*'前提'!$B$4</f>
        <v>2668000</v>
      </c>
      <c r="AV17" s="17">
        <f>AV10*'前提'!$B$4</f>
        <v>2737000</v>
      </c>
      <c r="AW17" s="17">
        <f>AW10*'前提'!$B$4</f>
        <v>2806000</v>
      </c>
      <c r="AX17" s="17">
        <f>AX10*'前提'!$B$4</f>
        <v>2898000</v>
      </c>
      <c r="AY17" s="17">
        <f>AY10*'前提'!$B$4</f>
        <v>2978500</v>
      </c>
      <c r="AZ17" s="17">
        <f>AZ10*'前提'!$B$4</f>
        <v>3059000</v>
      </c>
      <c r="BA17" s="17">
        <f>BA10*'前提'!$B$4</f>
        <v>3139500</v>
      </c>
      <c r="BB17" s="17">
        <f>BB10*'前提'!$B$4</f>
        <v>3220000</v>
      </c>
      <c r="BC17" s="17">
        <f>BC10*'前提'!$B$4</f>
        <v>3300500</v>
      </c>
      <c r="BD17" s="17">
        <f>BD10*'前提'!$B$4</f>
        <v>3381000</v>
      </c>
      <c r="BE17" s="17">
        <f>BE10*'前提'!$B$4</f>
        <v>3461500</v>
      </c>
      <c r="BF17" s="17">
        <f>BF10*'前提'!$B$4</f>
        <v>3530500</v>
      </c>
      <c r="BG17" s="17">
        <f>BG10*'前提'!$B$4</f>
        <v>3599500</v>
      </c>
      <c r="BH17" s="17">
        <f>BH10*'前提'!$B$4</f>
        <v>3668500</v>
      </c>
      <c r="BI17" s="17">
        <f>BI10*'前提'!$B$4</f>
        <v>3737500</v>
      </c>
    </row>
    <row r="18">
      <c r="A18" s="3" t="s">
        <v>182</v>
      </c>
      <c r="B18" s="17">
        <f>B14*'前提'!$B$6</f>
        <v>0</v>
      </c>
      <c r="C18" s="17">
        <f>C14*'前提'!$B$6</f>
        <v>0</v>
      </c>
      <c r="D18" s="17">
        <f>D14*'前提'!$B$6</f>
        <v>0</v>
      </c>
      <c r="E18" s="17">
        <f>E14*'前提'!$B$6</f>
        <v>0</v>
      </c>
      <c r="F18" s="17">
        <f>F14*'前提'!$B$6</f>
        <v>0</v>
      </c>
      <c r="G18" s="17">
        <f>G14*'前提'!$B$6</f>
        <v>0</v>
      </c>
      <c r="H18" s="17">
        <f>H14*'前提'!$B$6</f>
        <v>0</v>
      </c>
      <c r="I18" s="17">
        <f>I14*'前提'!$B$6</f>
        <v>150000</v>
      </c>
      <c r="J18" s="17">
        <f>J14*'前提'!$B$6</f>
        <v>300000</v>
      </c>
      <c r="K18" s="17">
        <f>K14*'前提'!$B$6</f>
        <v>450000</v>
      </c>
      <c r="L18" s="17">
        <f>L14*'前提'!$B$6</f>
        <v>600000</v>
      </c>
      <c r="M18" s="17">
        <f>M14*'前提'!$B$6</f>
        <v>900000</v>
      </c>
      <c r="N18" s="17">
        <f>N14*'前提'!$B$6</f>
        <v>1200000</v>
      </c>
      <c r="O18" s="17">
        <f>O14*'前提'!$B$6</f>
        <v>1500000</v>
      </c>
      <c r="P18" s="17">
        <f>P14*'前提'!$B$6</f>
        <v>1800000</v>
      </c>
      <c r="Q18" s="17">
        <f>Q14*'前提'!$B$6</f>
        <v>2100000</v>
      </c>
      <c r="R18" s="17">
        <f>R14*'前提'!$B$6</f>
        <v>2550000</v>
      </c>
      <c r="S18" s="17">
        <f>S14*'前提'!$B$6</f>
        <v>3000000</v>
      </c>
      <c r="T18" s="17">
        <f>T14*'前提'!$B$6</f>
        <v>3450000</v>
      </c>
      <c r="U18" s="17">
        <f>U14*'前提'!$B$6</f>
        <v>3900000</v>
      </c>
      <c r="V18" s="17">
        <f>V14*'前提'!$B$6</f>
        <v>4500000</v>
      </c>
      <c r="W18" s="17">
        <f>W14*'前提'!$B$6</f>
        <v>5100000</v>
      </c>
      <c r="X18" s="17">
        <f>X14*'前提'!$B$6</f>
        <v>5700000</v>
      </c>
      <c r="Y18" s="17">
        <f>Y14*'前提'!$B$6</f>
        <v>6300000</v>
      </c>
      <c r="Z18" s="17">
        <f>Z14*'前提'!$B$6</f>
        <v>7050000</v>
      </c>
      <c r="AA18" s="17">
        <f>AA14*'前提'!$B$6</f>
        <v>7800000</v>
      </c>
      <c r="AB18" s="17">
        <f>AB14*'前提'!$B$6</f>
        <v>8550000</v>
      </c>
      <c r="AC18" s="17">
        <f>AC14*'前提'!$B$6</f>
        <v>9450000</v>
      </c>
      <c r="AD18" s="17">
        <f>AD14*'前提'!$B$6</f>
        <v>10350000</v>
      </c>
      <c r="AE18" s="17">
        <f>AE14*'前提'!$B$6</f>
        <v>11250000</v>
      </c>
      <c r="AF18" s="17">
        <f>AF14*'前提'!$B$6</f>
        <v>12300000</v>
      </c>
      <c r="AG18" s="17">
        <f>AG14*'前提'!$B$6</f>
        <v>13350000</v>
      </c>
      <c r="AH18" s="17">
        <f>AH14*'前提'!$B$6</f>
        <v>14400000</v>
      </c>
      <c r="AI18" s="17">
        <f>AI14*'前提'!$B$6</f>
        <v>15450000</v>
      </c>
      <c r="AJ18" s="17">
        <f>AJ14*'前提'!$B$6</f>
        <v>16500000</v>
      </c>
      <c r="AK18" s="17">
        <f>AK14*'前提'!$B$6</f>
        <v>17550000</v>
      </c>
      <c r="AL18" s="17">
        <f>AL14*'前提'!$B$6</f>
        <v>18600000</v>
      </c>
      <c r="AM18" s="17">
        <f>AM14*'前提'!$B$6</f>
        <v>19800000</v>
      </c>
      <c r="AN18" s="17">
        <f>AN14*'前提'!$B$6</f>
        <v>21000000</v>
      </c>
      <c r="AO18" s="17">
        <f>AO14*'前提'!$B$6</f>
        <v>22200000</v>
      </c>
      <c r="AP18" s="17">
        <f>AP14*'前提'!$B$6</f>
        <v>23550000</v>
      </c>
      <c r="AQ18" s="17">
        <f>AQ14*'前提'!$B$6</f>
        <v>24900000</v>
      </c>
      <c r="AR18" s="17">
        <f>AR14*'前提'!$B$6</f>
        <v>26250000</v>
      </c>
      <c r="AS18" s="17">
        <f>AS14*'前提'!$B$6</f>
        <v>27750000</v>
      </c>
      <c r="AT18" s="17">
        <f>AT14*'前提'!$B$6</f>
        <v>29250000</v>
      </c>
      <c r="AU18" s="17">
        <f>AU14*'前提'!$B$6</f>
        <v>30750000</v>
      </c>
      <c r="AV18" s="17">
        <f>AV14*'前提'!$B$6</f>
        <v>32100000</v>
      </c>
      <c r="AW18" s="17">
        <f>AW14*'前提'!$B$6</f>
        <v>33600000</v>
      </c>
      <c r="AX18" s="17">
        <f>AX14*'前提'!$B$6</f>
        <v>35100000</v>
      </c>
      <c r="AY18" s="17">
        <f>AY14*'前提'!$B$6</f>
        <v>36600000</v>
      </c>
      <c r="AZ18" s="17">
        <f>AZ14*'前提'!$B$6</f>
        <v>38250000</v>
      </c>
      <c r="BA18" s="17">
        <f>BA14*'前提'!$B$6</f>
        <v>39900000</v>
      </c>
      <c r="BB18" s="17">
        <f>BB14*'前提'!$B$6</f>
        <v>41700000</v>
      </c>
      <c r="BC18" s="17">
        <f>BC14*'前提'!$B$6</f>
        <v>43500000</v>
      </c>
      <c r="BD18" s="17">
        <f>BD14*'前提'!$B$6</f>
        <v>45300000</v>
      </c>
      <c r="BE18" s="17">
        <f>BE14*'前提'!$B$6</f>
        <v>47100000</v>
      </c>
      <c r="BF18" s="17">
        <f>BF14*'前提'!$B$6</f>
        <v>48900000</v>
      </c>
      <c r="BG18" s="17">
        <f>BG14*'前提'!$B$6</f>
        <v>50700000</v>
      </c>
      <c r="BH18" s="17">
        <f>BH14*'前提'!$B$6</f>
        <v>52500000</v>
      </c>
      <c r="BI18" s="17">
        <f>BI14*'前提'!$B$6</f>
        <v>54450000</v>
      </c>
    </row>
    <row r="19">
      <c r="A19" s="3" t="s">
        <v>183</v>
      </c>
      <c r="B19" s="17">
        <f>IF(1&gt;=13,B14*'前提'!$B$7,0)</f>
        <v>0</v>
      </c>
      <c r="C19" s="17">
        <f>IF(2&gt;=13,C14*'前提'!$B$7,0)</f>
        <v>0</v>
      </c>
      <c r="D19" s="17">
        <f>IF(3&gt;=13,D14*'前提'!$B$7,0)</f>
        <v>0</v>
      </c>
      <c r="E19" s="17">
        <f>IF(4&gt;=13,E14*'前提'!$B$7,0)</f>
        <v>0</v>
      </c>
      <c r="F19" s="17">
        <f>IF(5&gt;=13,F14*'前提'!$B$7,0)</f>
        <v>0</v>
      </c>
      <c r="G19" s="17">
        <f>IF(6&gt;=13,G14*'前提'!$B$7,0)</f>
        <v>0</v>
      </c>
      <c r="H19" s="17">
        <f>IF(7&gt;=13,H14*'前提'!$B$7,0)</f>
        <v>0</v>
      </c>
      <c r="I19" s="17">
        <f>IF(8&gt;=13,I14*'前提'!$B$7,0)</f>
        <v>0</v>
      </c>
      <c r="J19" s="17">
        <f>IF(9&gt;=13,J14*'前提'!$B$7,0)</f>
        <v>0</v>
      </c>
      <c r="K19" s="17">
        <f>IF(10&gt;=13,K14*'前提'!$B$7,0)</f>
        <v>0</v>
      </c>
      <c r="L19" s="17">
        <f>IF(11&gt;=13,L14*'前提'!$B$7,0)</f>
        <v>0</v>
      </c>
      <c r="M19" s="17">
        <f>IF(12&gt;=13,M14*'前提'!$B$7,0)</f>
        <v>0</v>
      </c>
      <c r="N19" s="17">
        <f>IF(13&gt;=13,N14*'前提'!$B$7,0)</f>
        <v>400000</v>
      </c>
      <c r="O19" s="17">
        <f>IF(14&gt;=13,O14*'前提'!$B$7,0)</f>
        <v>500000</v>
      </c>
      <c r="P19" s="17">
        <f>IF(15&gt;=13,P14*'前提'!$B$7,0)</f>
        <v>600000</v>
      </c>
      <c r="Q19" s="17">
        <f>IF(16&gt;=13,Q14*'前提'!$B$7,0)</f>
        <v>700000</v>
      </c>
      <c r="R19" s="17">
        <f>IF(17&gt;=13,R14*'前提'!$B$7,0)</f>
        <v>850000</v>
      </c>
      <c r="S19" s="17">
        <f>IF(18&gt;=13,S14*'前提'!$B$7,0)</f>
        <v>1000000</v>
      </c>
      <c r="T19" s="17">
        <f>IF(19&gt;=13,T14*'前提'!$B$7,0)</f>
        <v>1150000</v>
      </c>
      <c r="U19" s="17">
        <f>IF(20&gt;=13,U14*'前提'!$B$7,0)</f>
        <v>1300000</v>
      </c>
      <c r="V19" s="17">
        <f>IF(21&gt;=13,V14*'前提'!$B$7,0)</f>
        <v>1500000</v>
      </c>
      <c r="W19" s="17">
        <f>IF(22&gt;=13,W14*'前提'!$B$7,0)</f>
        <v>1700000</v>
      </c>
      <c r="X19" s="17">
        <f>IF(23&gt;=13,X14*'前提'!$B$7,0)</f>
        <v>1900000</v>
      </c>
      <c r="Y19" s="17">
        <f>IF(24&gt;=13,Y14*'前提'!$B$7,0)</f>
        <v>2100000</v>
      </c>
      <c r="Z19" s="17">
        <f>IF(25&gt;=13,Z14*'前提'!$B$7,0)</f>
        <v>2350000</v>
      </c>
      <c r="AA19" s="17">
        <f>IF(26&gt;=13,AA14*'前提'!$B$7,0)</f>
        <v>2600000</v>
      </c>
      <c r="AB19" s="17">
        <f>IF(27&gt;=13,AB14*'前提'!$B$7,0)</f>
        <v>2850000</v>
      </c>
      <c r="AC19" s="17">
        <f>IF(28&gt;=13,AC14*'前提'!$B$7,0)</f>
        <v>3150000</v>
      </c>
      <c r="AD19" s="17">
        <f>IF(29&gt;=13,AD14*'前提'!$B$7,0)</f>
        <v>3450000</v>
      </c>
      <c r="AE19" s="17">
        <f>IF(30&gt;=13,AE14*'前提'!$B$7,0)</f>
        <v>3750000</v>
      </c>
      <c r="AF19" s="17">
        <f>IF(31&gt;=13,AF14*'前提'!$B$7,0)</f>
        <v>4100000</v>
      </c>
      <c r="AG19" s="17">
        <f>IF(32&gt;=13,AG14*'前提'!$B$7,0)</f>
        <v>4450000</v>
      </c>
      <c r="AH19" s="17">
        <f>IF(33&gt;=13,AH14*'前提'!$B$7,0)</f>
        <v>4800000</v>
      </c>
      <c r="AI19" s="17">
        <f>IF(34&gt;=13,AI14*'前提'!$B$7,0)</f>
        <v>5150000</v>
      </c>
      <c r="AJ19" s="17">
        <f>IF(35&gt;=13,AJ14*'前提'!$B$7,0)</f>
        <v>5500000</v>
      </c>
      <c r="AK19" s="17">
        <f>IF(36&gt;=13,AK14*'前提'!$B$7,0)</f>
        <v>5850000</v>
      </c>
      <c r="AL19" s="17">
        <f>IF(37&gt;=13,AL14*'前提'!$B$7,0)</f>
        <v>6200000</v>
      </c>
      <c r="AM19" s="17">
        <f>IF(38&gt;=13,AM14*'前提'!$B$7,0)</f>
        <v>6600000</v>
      </c>
      <c r="AN19" s="17">
        <f>IF(39&gt;=13,AN14*'前提'!$B$7,0)</f>
        <v>7000000</v>
      </c>
      <c r="AO19" s="17">
        <f>IF(40&gt;=13,AO14*'前提'!$B$7,0)</f>
        <v>7400000</v>
      </c>
      <c r="AP19" s="17">
        <f>IF(41&gt;=13,AP14*'前提'!$B$7,0)</f>
        <v>7850000</v>
      </c>
      <c r="AQ19" s="17">
        <f>IF(42&gt;=13,AQ14*'前提'!$B$7,0)</f>
        <v>8300000</v>
      </c>
      <c r="AR19" s="17">
        <f>IF(43&gt;=13,AR14*'前提'!$B$7,0)</f>
        <v>8750000</v>
      </c>
      <c r="AS19" s="17">
        <f>IF(44&gt;=13,AS14*'前提'!$B$7,0)</f>
        <v>9250000</v>
      </c>
      <c r="AT19" s="17">
        <f>IF(45&gt;=13,AT14*'前提'!$B$7,0)</f>
        <v>9750000</v>
      </c>
      <c r="AU19" s="17">
        <f>IF(46&gt;=13,AU14*'前提'!$B$7,0)</f>
        <v>10250000</v>
      </c>
      <c r="AV19" s="17">
        <f>IF(47&gt;=13,AV14*'前提'!$B$7,0)</f>
        <v>10700000</v>
      </c>
      <c r="AW19" s="17">
        <f>IF(48&gt;=13,AW14*'前提'!$B$7,0)</f>
        <v>11200000</v>
      </c>
      <c r="AX19" s="17">
        <f>IF(49&gt;=13,AX14*'前提'!$B$7,0)</f>
        <v>11700000</v>
      </c>
      <c r="AY19" s="17">
        <f>IF(50&gt;=13,AY14*'前提'!$B$7,0)</f>
        <v>12200000</v>
      </c>
      <c r="AZ19" s="17">
        <f>IF(51&gt;=13,AZ14*'前提'!$B$7,0)</f>
        <v>12750000</v>
      </c>
      <c r="BA19" s="17">
        <f>IF(52&gt;=13,BA14*'前提'!$B$7,0)</f>
        <v>13300000</v>
      </c>
      <c r="BB19" s="17">
        <f>IF(53&gt;=13,BB14*'前提'!$B$7,0)</f>
        <v>13900000</v>
      </c>
      <c r="BC19" s="17">
        <f>IF(54&gt;=13,BC14*'前提'!$B$7,0)</f>
        <v>14500000</v>
      </c>
      <c r="BD19" s="17">
        <f>IF(55&gt;=13,BD14*'前提'!$B$7,0)</f>
        <v>15100000</v>
      </c>
      <c r="BE19" s="17">
        <f>IF(56&gt;=13,BE14*'前提'!$B$7,0)</f>
        <v>15700000</v>
      </c>
      <c r="BF19" s="17">
        <f>IF(57&gt;=13,BF14*'前提'!$B$7,0)</f>
        <v>16300000</v>
      </c>
      <c r="BG19" s="17">
        <f>IF(58&gt;=13,BG14*'前提'!$B$7,0)</f>
        <v>16900000</v>
      </c>
      <c r="BH19" s="17">
        <f>IF(59&gt;=13,BH14*'前提'!$B$7,0)</f>
        <v>17500000</v>
      </c>
      <c r="BI19" s="17">
        <f>IF(60&gt;=13,BI14*'前提'!$B$7,0)</f>
        <v>18150000</v>
      </c>
    </row>
    <row r="20">
      <c r="A20" s="9" t="s">
        <v>184</v>
      </c>
      <c r="B20" s="17">
        <f>B5*'前提'!$B$5</f>
        <v>0</v>
      </c>
      <c r="C20" s="17">
        <f>C5*'前提'!$B$5</f>
        <v>450000</v>
      </c>
      <c r="D20" s="17">
        <f>D5*'前提'!$B$5</f>
        <v>450000</v>
      </c>
      <c r="E20" s="17">
        <f>E5*'前提'!$B$5</f>
        <v>450000</v>
      </c>
      <c r="F20" s="17">
        <f>F5*'前提'!$B$5</f>
        <v>450000</v>
      </c>
      <c r="G20" s="17">
        <f>G5*'前提'!$B$5</f>
        <v>450000</v>
      </c>
      <c r="H20" s="17">
        <f>H5*'前提'!$B$5</f>
        <v>1125000</v>
      </c>
      <c r="I20" s="17">
        <f>I5*'前提'!$B$5</f>
        <v>1125000</v>
      </c>
      <c r="J20" s="17">
        <f>J5*'前提'!$B$5</f>
        <v>1125000</v>
      </c>
      <c r="K20" s="17">
        <f>K5*'前提'!$B$5</f>
        <v>1125000</v>
      </c>
      <c r="L20" s="17">
        <f>L5*'前提'!$B$5</f>
        <v>1125000</v>
      </c>
      <c r="M20" s="17">
        <f>M5*'前提'!$B$5</f>
        <v>1125000</v>
      </c>
      <c r="N20" s="17">
        <f>N5*'前提'!$B$5</f>
        <v>1125000</v>
      </c>
      <c r="O20" s="17">
        <f>O5*'前提'!$B$5</f>
        <v>1125000</v>
      </c>
      <c r="P20" s="17">
        <f>P5*'前提'!$B$5</f>
        <v>1125000</v>
      </c>
      <c r="Q20" s="17">
        <f>Q5*'前提'!$B$5</f>
        <v>1125000</v>
      </c>
      <c r="R20" s="17">
        <f>R5*'前提'!$B$5</f>
        <v>1125000</v>
      </c>
      <c r="S20" s="17">
        <f>S5*'前提'!$B$5</f>
        <v>1125000</v>
      </c>
      <c r="T20" s="17">
        <f>T5*'前提'!$B$5</f>
        <v>1350000</v>
      </c>
      <c r="U20" s="17">
        <f>U5*'前提'!$B$5</f>
        <v>1350000</v>
      </c>
      <c r="V20" s="17">
        <f>V5*'前提'!$B$5</f>
        <v>1350000</v>
      </c>
      <c r="W20" s="17">
        <f>W5*'前提'!$B$5</f>
        <v>1350000</v>
      </c>
      <c r="X20" s="17">
        <f>X5*'前提'!$B$5</f>
        <v>1350000</v>
      </c>
      <c r="Y20" s="17">
        <f>Y5*'前提'!$B$5</f>
        <v>1350000</v>
      </c>
      <c r="Z20" s="17">
        <f>Z5*'前提'!$B$5</f>
        <v>1800000</v>
      </c>
      <c r="AA20" s="17">
        <f>AA5*'前提'!$B$5</f>
        <v>1800000</v>
      </c>
      <c r="AB20" s="17">
        <f>AB5*'前提'!$B$5</f>
        <v>1800000</v>
      </c>
      <c r="AC20" s="17">
        <f>AC5*'前提'!$B$5</f>
        <v>1800000</v>
      </c>
      <c r="AD20" s="17">
        <f>AD5*'前提'!$B$5</f>
        <v>1800000</v>
      </c>
      <c r="AE20" s="17">
        <f>AE5*'前提'!$B$5</f>
        <v>1800000</v>
      </c>
      <c r="AF20" s="17">
        <f>AF5*'前提'!$B$5</f>
        <v>1800000</v>
      </c>
      <c r="AG20" s="17">
        <f>AG5*'前提'!$B$5</f>
        <v>1800000</v>
      </c>
      <c r="AH20" s="17">
        <f>AH5*'前提'!$B$5</f>
        <v>1800000</v>
      </c>
      <c r="AI20" s="17">
        <f>AI5*'前提'!$B$5</f>
        <v>1800000</v>
      </c>
      <c r="AJ20" s="17">
        <f>AJ5*'前提'!$B$5</f>
        <v>1800000</v>
      </c>
      <c r="AK20" s="17">
        <f>AK5*'前提'!$B$5</f>
        <v>1800000</v>
      </c>
      <c r="AL20" s="17">
        <f>AL5*'前提'!$B$5</f>
        <v>2250000</v>
      </c>
      <c r="AM20" s="17">
        <f>AM5*'前提'!$B$5</f>
        <v>2250000</v>
      </c>
      <c r="AN20" s="17">
        <f>AN5*'前提'!$B$5</f>
        <v>2250000</v>
      </c>
      <c r="AO20" s="17">
        <f>AO5*'前提'!$B$5</f>
        <v>2250000</v>
      </c>
      <c r="AP20" s="17">
        <f>AP5*'前提'!$B$5</f>
        <v>2250000</v>
      </c>
      <c r="AQ20" s="17">
        <f>AQ5*'前提'!$B$5</f>
        <v>2250000</v>
      </c>
      <c r="AR20" s="17">
        <f>AR5*'前提'!$B$5</f>
        <v>2250000</v>
      </c>
      <c r="AS20" s="17">
        <f>AS5*'前提'!$B$5</f>
        <v>2250000</v>
      </c>
      <c r="AT20" s="17">
        <f>AT5*'前提'!$B$5</f>
        <v>2250000</v>
      </c>
      <c r="AU20" s="17">
        <f>AU5*'前提'!$B$5</f>
        <v>2250000</v>
      </c>
      <c r="AV20" s="17">
        <f>AV5*'前提'!$B$5</f>
        <v>2250000</v>
      </c>
      <c r="AW20" s="17">
        <f>AW5*'前提'!$B$5</f>
        <v>2250000</v>
      </c>
      <c r="AX20" s="17">
        <f>AX5*'前提'!$B$5</f>
        <v>2700000</v>
      </c>
      <c r="AY20" s="17">
        <f>AY5*'前提'!$B$5</f>
        <v>2700000</v>
      </c>
      <c r="AZ20" s="17">
        <f>AZ5*'前提'!$B$5</f>
        <v>2700000</v>
      </c>
      <c r="BA20" s="17">
        <f>BA5*'前提'!$B$5</f>
        <v>2700000</v>
      </c>
      <c r="BB20" s="17">
        <f>BB5*'前提'!$B$5</f>
        <v>2700000</v>
      </c>
      <c r="BC20" s="17">
        <f>BC5*'前提'!$B$5</f>
        <v>2700000</v>
      </c>
      <c r="BD20" s="17">
        <f>BD5*'前提'!$B$5</f>
        <v>2700000</v>
      </c>
      <c r="BE20" s="17">
        <f>BE5*'前提'!$B$5</f>
        <v>2700000</v>
      </c>
      <c r="BF20" s="17">
        <f>BF5*'前提'!$B$5</f>
        <v>2700000</v>
      </c>
      <c r="BG20" s="17">
        <f>BG5*'前提'!$B$5</f>
        <v>2700000</v>
      </c>
      <c r="BH20" s="17">
        <f>BH5*'前提'!$B$5</f>
        <v>2700000</v>
      </c>
      <c r="BI20" s="17">
        <f>BI5*'前提'!$B$5</f>
        <v>2700000</v>
      </c>
    </row>
    <row r="21" ht="15.75" customHeight="1">
      <c r="A21" s="18" t="s">
        <v>185</v>
      </c>
      <c r="B21" s="19">
        <f t="shared" ref="B21:BI21" si="5">B17+B18+B19</f>
        <v>11500</v>
      </c>
      <c r="C21" s="19">
        <f t="shared" si="5"/>
        <v>34500</v>
      </c>
      <c r="D21" s="19">
        <f t="shared" si="5"/>
        <v>57500</v>
      </c>
      <c r="E21" s="19">
        <f t="shared" si="5"/>
        <v>80500</v>
      </c>
      <c r="F21" s="19">
        <f t="shared" si="5"/>
        <v>103500</v>
      </c>
      <c r="G21" s="19">
        <f t="shared" si="5"/>
        <v>126500</v>
      </c>
      <c r="H21" s="19">
        <f t="shared" si="5"/>
        <v>184000</v>
      </c>
      <c r="I21" s="19">
        <f t="shared" si="5"/>
        <v>391500</v>
      </c>
      <c r="J21" s="19">
        <f t="shared" si="5"/>
        <v>599000</v>
      </c>
      <c r="K21" s="19">
        <f t="shared" si="5"/>
        <v>806500</v>
      </c>
      <c r="L21" s="19">
        <f t="shared" si="5"/>
        <v>1014000</v>
      </c>
      <c r="M21" s="19">
        <f t="shared" si="5"/>
        <v>1371500</v>
      </c>
      <c r="N21" s="19">
        <f t="shared" si="5"/>
        <v>2129000</v>
      </c>
      <c r="O21" s="19">
        <f t="shared" si="5"/>
        <v>2586500</v>
      </c>
      <c r="P21" s="19">
        <f t="shared" si="5"/>
        <v>3032500</v>
      </c>
      <c r="Q21" s="19">
        <f t="shared" si="5"/>
        <v>3478500</v>
      </c>
      <c r="R21" s="19">
        <f t="shared" si="5"/>
        <v>4124500</v>
      </c>
      <c r="S21" s="19">
        <f t="shared" si="5"/>
        <v>4770500</v>
      </c>
      <c r="T21" s="19">
        <f t="shared" si="5"/>
        <v>5428000</v>
      </c>
      <c r="U21" s="19">
        <f t="shared" si="5"/>
        <v>6085500</v>
      </c>
      <c r="V21" s="19">
        <f t="shared" si="5"/>
        <v>6943000</v>
      </c>
      <c r="W21" s="19">
        <f t="shared" si="5"/>
        <v>7800500</v>
      </c>
      <c r="X21" s="19">
        <f t="shared" si="5"/>
        <v>8658000</v>
      </c>
      <c r="Y21" s="19">
        <f t="shared" si="5"/>
        <v>9515500</v>
      </c>
      <c r="Z21" s="19">
        <f t="shared" si="5"/>
        <v>10596000</v>
      </c>
      <c r="AA21" s="19">
        <f t="shared" si="5"/>
        <v>11665000</v>
      </c>
      <c r="AB21" s="19">
        <f t="shared" si="5"/>
        <v>12734000</v>
      </c>
      <c r="AC21" s="19">
        <f t="shared" si="5"/>
        <v>14003000</v>
      </c>
      <c r="AD21" s="19">
        <f t="shared" si="5"/>
        <v>15272000</v>
      </c>
      <c r="AE21" s="19">
        <f t="shared" si="5"/>
        <v>16541000</v>
      </c>
      <c r="AF21" s="19">
        <f t="shared" si="5"/>
        <v>18010000</v>
      </c>
      <c r="AG21" s="19">
        <f t="shared" si="5"/>
        <v>19479000</v>
      </c>
      <c r="AH21" s="19">
        <f t="shared" si="5"/>
        <v>20948000</v>
      </c>
      <c r="AI21" s="19">
        <f t="shared" si="5"/>
        <v>22405500</v>
      </c>
      <c r="AJ21" s="19">
        <f t="shared" si="5"/>
        <v>23863000</v>
      </c>
      <c r="AK21" s="19">
        <f t="shared" si="5"/>
        <v>25320500</v>
      </c>
      <c r="AL21" s="19">
        <f t="shared" si="5"/>
        <v>26801000</v>
      </c>
      <c r="AM21" s="19">
        <f t="shared" si="5"/>
        <v>28481500</v>
      </c>
      <c r="AN21" s="19">
        <f t="shared" si="5"/>
        <v>30162000</v>
      </c>
      <c r="AO21" s="19">
        <f t="shared" si="5"/>
        <v>31842500</v>
      </c>
      <c r="AP21" s="19">
        <f t="shared" si="5"/>
        <v>33723000</v>
      </c>
      <c r="AQ21" s="19">
        <f t="shared" si="5"/>
        <v>35592000</v>
      </c>
      <c r="AR21" s="19">
        <f t="shared" si="5"/>
        <v>37461000</v>
      </c>
      <c r="AS21" s="19">
        <f t="shared" si="5"/>
        <v>39530000</v>
      </c>
      <c r="AT21" s="19">
        <f t="shared" si="5"/>
        <v>41599000</v>
      </c>
      <c r="AU21" s="19">
        <f t="shared" si="5"/>
        <v>43668000</v>
      </c>
      <c r="AV21" s="19">
        <f t="shared" si="5"/>
        <v>45537000</v>
      </c>
      <c r="AW21" s="19">
        <f t="shared" si="5"/>
        <v>47606000</v>
      </c>
      <c r="AX21" s="19">
        <f t="shared" si="5"/>
        <v>49698000</v>
      </c>
      <c r="AY21" s="19">
        <f t="shared" si="5"/>
        <v>51778500</v>
      </c>
      <c r="AZ21" s="19">
        <f t="shared" si="5"/>
        <v>54059000</v>
      </c>
      <c r="BA21" s="19">
        <f t="shared" si="5"/>
        <v>56339500</v>
      </c>
      <c r="BB21" s="19">
        <f t="shared" si="5"/>
        <v>58820000</v>
      </c>
      <c r="BC21" s="19">
        <f t="shared" si="5"/>
        <v>61300500</v>
      </c>
      <c r="BD21" s="19">
        <f t="shared" si="5"/>
        <v>63781000</v>
      </c>
      <c r="BE21" s="19">
        <f t="shared" si="5"/>
        <v>66261500</v>
      </c>
      <c r="BF21" s="19">
        <f t="shared" si="5"/>
        <v>68730500</v>
      </c>
      <c r="BG21" s="19">
        <f t="shared" si="5"/>
        <v>71199500</v>
      </c>
      <c r="BH21" s="19">
        <f t="shared" si="5"/>
        <v>73668500</v>
      </c>
      <c r="BI21" s="19">
        <f t="shared" si="5"/>
        <v>76337500</v>
      </c>
    </row>
    <row r="22" ht="15.75" customHeight="1">
      <c r="A22" s="20" t="s">
        <v>186</v>
      </c>
      <c r="B22" s="21">
        <f t="shared" ref="B22:BI22" si="6">B21+B20</f>
        <v>11500</v>
      </c>
      <c r="C22" s="21">
        <f t="shared" si="6"/>
        <v>484500</v>
      </c>
      <c r="D22" s="21">
        <f t="shared" si="6"/>
        <v>507500</v>
      </c>
      <c r="E22" s="21">
        <f t="shared" si="6"/>
        <v>530500</v>
      </c>
      <c r="F22" s="21">
        <f t="shared" si="6"/>
        <v>553500</v>
      </c>
      <c r="G22" s="21">
        <f t="shared" si="6"/>
        <v>576500</v>
      </c>
      <c r="H22" s="21">
        <f t="shared" si="6"/>
        <v>1309000</v>
      </c>
      <c r="I22" s="21">
        <f t="shared" si="6"/>
        <v>1516500</v>
      </c>
      <c r="J22" s="21">
        <f t="shared" si="6"/>
        <v>1724000</v>
      </c>
      <c r="K22" s="21">
        <f t="shared" si="6"/>
        <v>1931500</v>
      </c>
      <c r="L22" s="21">
        <f t="shared" si="6"/>
        <v>2139000</v>
      </c>
      <c r="M22" s="21">
        <f t="shared" si="6"/>
        <v>2496500</v>
      </c>
      <c r="N22" s="21">
        <f t="shared" si="6"/>
        <v>3254000</v>
      </c>
      <c r="O22" s="21">
        <f t="shared" si="6"/>
        <v>3711500</v>
      </c>
      <c r="P22" s="21">
        <f t="shared" si="6"/>
        <v>4157500</v>
      </c>
      <c r="Q22" s="21">
        <f t="shared" si="6"/>
        <v>4603500</v>
      </c>
      <c r="R22" s="21">
        <f t="shared" si="6"/>
        <v>5249500</v>
      </c>
      <c r="S22" s="21">
        <f t="shared" si="6"/>
        <v>5895500</v>
      </c>
      <c r="T22" s="21">
        <f t="shared" si="6"/>
        <v>6778000</v>
      </c>
      <c r="U22" s="21">
        <f t="shared" si="6"/>
        <v>7435500</v>
      </c>
      <c r="V22" s="21">
        <f t="shared" si="6"/>
        <v>8293000</v>
      </c>
      <c r="W22" s="21">
        <f t="shared" si="6"/>
        <v>9150500</v>
      </c>
      <c r="X22" s="21">
        <f t="shared" si="6"/>
        <v>10008000</v>
      </c>
      <c r="Y22" s="21">
        <f t="shared" si="6"/>
        <v>10865500</v>
      </c>
      <c r="Z22" s="21">
        <f t="shared" si="6"/>
        <v>12396000</v>
      </c>
      <c r="AA22" s="21">
        <f t="shared" si="6"/>
        <v>13465000</v>
      </c>
      <c r="AB22" s="21">
        <f t="shared" si="6"/>
        <v>14534000</v>
      </c>
      <c r="AC22" s="21">
        <f t="shared" si="6"/>
        <v>15803000</v>
      </c>
      <c r="AD22" s="21">
        <f t="shared" si="6"/>
        <v>17072000</v>
      </c>
      <c r="AE22" s="21">
        <f t="shared" si="6"/>
        <v>18341000</v>
      </c>
      <c r="AF22" s="21">
        <f t="shared" si="6"/>
        <v>19810000</v>
      </c>
      <c r="AG22" s="21">
        <f t="shared" si="6"/>
        <v>21279000</v>
      </c>
      <c r="AH22" s="21">
        <f t="shared" si="6"/>
        <v>22748000</v>
      </c>
      <c r="AI22" s="21">
        <f t="shared" si="6"/>
        <v>24205500</v>
      </c>
      <c r="AJ22" s="21">
        <f t="shared" si="6"/>
        <v>25663000</v>
      </c>
      <c r="AK22" s="21">
        <f t="shared" si="6"/>
        <v>27120500</v>
      </c>
      <c r="AL22" s="21">
        <f t="shared" si="6"/>
        <v>29051000</v>
      </c>
      <c r="AM22" s="21">
        <f t="shared" si="6"/>
        <v>30731500</v>
      </c>
      <c r="AN22" s="21">
        <f t="shared" si="6"/>
        <v>32412000</v>
      </c>
      <c r="AO22" s="21">
        <f t="shared" si="6"/>
        <v>34092500</v>
      </c>
      <c r="AP22" s="21">
        <f t="shared" si="6"/>
        <v>35973000</v>
      </c>
      <c r="AQ22" s="21">
        <f t="shared" si="6"/>
        <v>37842000</v>
      </c>
      <c r="AR22" s="21">
        <f t="shared" si="6"/>
        <v>39711000</v>
      </c>
      <c r="AS22" s="21">
        <f t="shared" si="6"/>
        <v>41780000</v>
      </c>
      <c r="AT22" s="21">
        <f t="shared" si="6"/>
        <v>43849000</v>
      </c>
      <c r="AU22" s="21">
        <f t="shared" si="6"/>
        <v>45918000</v>
      </c>
      <c r="AV22" s="21">
        <f t="shared" si="6"/>
        <v>47787000</v>
      </c>
      <c r="AW22" s="21">
        <f t="shared" si="6"/>
        <v>49856000</v>
      </c>
      <c r="AX22" s="21">
        <f t="shared" si="6"/>
        <v>52398000</v>
      </c>
      <c r="AY22" s="21">
        <f t="shared" si="6"/>
        <v>54478500</v>
      </c>
      <c r="AZ22" s="21">
        <f t="shared" si="6"/>
        <v>56759000</v>
      </c>
      <c r="BA22" s="21">
        <f t="shared" si="6"/>
        <v>59039500</v>
      </c>
      <c r="BB22" s="21">
        <f t="shared" si="6"/>
        <v>61520000</v>
      </c>
      <c r="BC22" s="21">
        <f t="shared" si="6"/>
        <v>64000500</v>
      </c>
      <c r="BD22" s="21">
        <f t="shared" si="6"/>
        <v>66481000</v>
      </c>
      <c r="BE22" s="21">
        <f t="shared" si="6"/>
        <v>68961500</v>
      </c>
      <c r="BF22" s="21">
        <f t="shared" si="6"/>
        <v>71430500</v>
      </c>
      <c r="BG22" s="21">
        <f t="shared" si="6"/>
        <v>73899500</v>
      </c>
      <c r="BH22" s="21">
        <f t="shared" si="6"/>
        <v>76368500</v>
      </c>
      <c r="BI22" s="21">
        <f t="shared" si="6"/>
        <v>79037500</v>
      </c>
    </row>
    <row r="23" ht="15.75" customHeight="1"/>
    <row r="24" ht="15.75" customHeight="1">
      <c r="A24" s="2" t="s">
        <v>187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</row>
    <row r="25" ht="15.75" customHeight="1">
      <c r="A25" s="3" t="s">
        <v>188</v>
      </c>
      <c r="B25" s="17">
        <f>'前提'!$B$22</f>
        <v>300000</v>
      </c>
      <c r="C25" s="17">
        <f>'前提'!$B$22</f>
        <v>300000</v>
      </c>
      <c r="D25" s="17">
        <f>'前提'!$B$22</f>
        <v>300000</v>
      </c>
      <c r="E25" s="17">
        <f>'前提'!$B$22</f>
        <v>300000</v>
      </c>
      <c r="F25" s="17">
        <f>'前提'!$B$22</f>
        <v>300000</v>
      </c>
      <c r="G25" s="17">
        <f>'前提'!$B$22</f>
        <v>300000</v>
      </c>
      <c r="H25" s="17">
        <f>'前提'!$B$22</f>
        <v>300000</v>
      </c>
      <c r="I25" s="17">
        <f>'前提'!$B$22</f>
        <v>300000</v>
      </c>
      <c r="J25" s="17">
        <f>'前提'!$B$22</f>
        <v>300000</v>
      </c>
      <c r="K25" s="17">
        <f>'前提'!$B$22</f>
        <v>300000</v>
      </c>
      <c r="L25" s="17">
        <f>'前提'!$B$22</f>
        <v>300000</v>
      </c>
      <c r="M25" s="17">
        <f>'前提'!$B$22</f>
        <v>300000</v>
      </c>
      <c r="N25" s="17">
        <f>'前提'!$B$22</f>
        <v>300000</v>
      </c>
      <c r="O25" s="17">
        <f>'前提'!$B$22</f>
        <v>300000</v>
      </c>
      <c r="P25" s="17">
        <f>'前提'!$B$22</f>
        <v>300000</v>
      </c>
      <c r="Q25" s="17">
        <f>'前提'!$B$22</f>
        <v>300000</v>
      </c>
      <c r="R25" s="17">
        <f>'前提'!$B$22</f>
        <v>300000</v>
      </c>
      <c r="S25" s="17">
        <f>'前提'!$B$22</f>
        <v>300000</v>
      </c>
      <c r="T25" s="17">
        <f>'前提'!$B$22</f>
        <v>300000</v>
      </c>
      <c r="U25" s="17">
        <f>'前提'!$B$22</f>
        <v>300000</v>
      </c>
      <c r="V25" s="17">
        <f>'前提'!$B$22</f>
        <v>300000</v>
      </c>
      <c r="W25" s="17">
        <f>'前提'!$B$22</f>
        <v>300000</v>
      </c>
      <c r="X25" s="17">
        <f>'前提'!$B$22</f>
        <v>300000</v>
      </c>
      <c r="Y25" s="17">
        <f>'前提'!$B$22</f>
        <v>300000</v>
      </c>
      <c r="Z25" s="17">
        <f>'前提'!$B$22</f>
        <v>300000</v>
      </c>
      <c r="AA25" s="17">
        <f>'前提'!$B$22</f>
        <v>300000</v>
      </c>
      <c r="AB25" s="17">
        <f>'前提'!$B$22</f>
        <v>300000</v>
      </c>
      <c r="AC25" s="17">
        <f>'前提'!$B$22</f>
        <v>300000</v>
      </c>
      <c r="AD25" s="17">
        <f>'前提'!$B$22</f>
        <v>300000</v>
      </c>
      <c r="AE25" s="17">
        <f>'前提'!$B$22</f>
        <v>300000</v>
      </c>
      <c r="AF25" s="17">
        <f>'前提'!$B$22</f>
        <v>300000</v>
      </c>
      <c r="AG25" s="17">
        <f>'前提'!$B$22</f>
        <v>300000</v>
      </c>
      <c r="AH25" s="17">
        <f>'前提'!$B$22</f>
        <v>300000</v>
      </c>
      <c r="AI25" s="17">
        <f>'前提'!$B$22</f>
        <v>300000</v>
      </c>
      <c r="AJ25" s="17">
        <f>'前提'!$B$22</f>
        <v>300000</v>
      </c>
      <c r="AK25" s="17">
        <f>'前提'!$B$22</f>
        <v>300000</v>
      </c>
      <c r="AL25" s="17">
        <f>'前提'!$B$22</f>
        <v>300000</v>
      </c>
      <c r="AM25" s="17">
        <f>'前提'!$B$22</f>
        <v>300000</v>
      </c>
      <c r="AN25" s="17">
        <f>'前提'!$B$22</f>
        <v>300000</v>
      </c>
      <c r="AO25" s="17">
        <f>'前提'!$B$22</f>
        <v>300000</v>
      </c>
      <c r="AP25" s="17">
        <f>'前提'!$B$22</f>
        <v>300000</v>
      </c>
      <c r="AQ25" s="17">
        <f>'前提'!$B$22</f>
        <v>300000</v>
      </c>
      <c r="AR25" s="17">
        <f>'前提'!$B$22</f>
        <v>300000</v>
      </c>
      <c r="AS25" s="17">
        <f>'前提'!$B$22</f>
        <v>300000</v>
      </c>
      <c r="AT25" s="17">
        <f>'前提'!$B$22</f>
        <v>300000</v>
      </c>
      <c r="AU25" s="17">
        <f>'前提'!$B$22</f>
        <v>300000</v>
      </c>
      <c r="AV25" s="17">
        <f>'前提'!$B$22</f>
        <v>300000</v>
      </c>
      <c r="AW25" s="17">
        <f>'前提'!$B$22</f>
        <v>300000</v>
      </c>
      <c r="AX25" s="17">
        <f>'前提'!$B$22</f>
        <v>300000</v>
      </c>
      <c r="AY25" s="17">
        <f>'前提'!$B$22</f>
        <v>300000</v>
      </c>
      <c r="AZ25" s="17">
        <f>'前提'!$B$22</f>
        <v>300000</v>
      </c>
      <c r="BA25" s="17">
        <f>'前提'!$B$22</f>
        <v>300000</v>
      </c>
      <c r="BB25" s="17">
        <f>'前提'!$B$22</f>
        <v>300000</v>
      </c>
      <c r="BC25" s="17">
        <f>'前提'!$B$22</f>
        <v>300000</v>
      </c>
      <c r="BD25" s="17">
        <f>'前提'!$B$22</f>
        <v>300000</v>
      </c>
      <c r="BE25" s="17">
        <f>'前提'!$B$22</f>
        <v>300000</v>
      </c>
      <c r="BF25" s="17">
        <f>'前提'!$B$22</f>
        <v>300000</v>
      </c>
      <c r="BG25" s="17">
        <f>'前提'!$B$22</f>
        <v>300000</v>
      </c>
      <c r="BH25" s="17">
        <f>'前提'!$B$22</f>
        <v>300000</v>
      </c>
      <c r="BI25" s="17">
        <f>'前提'!$B$22</f>
        <v>300000</v>
      </c>
    </row>
    <row r="26" ht="15.75" customHeight="1">
      <c r="A26" s="9" t="s">
        <v>63</v>
      </c>
      <c r="B26" s="17">
        <f>IF(1&lt;=6,'前提'!$B$23*'前提'!$B$24,IF(1&lt;=12,'前提'!$B$23*'前提'!$B$25,'前提'!$B$26*IF(1&lt;=18,'前提'!$B$49,IF(1&lt;=24,'前提'!$B$50,IF(1&lt;=36,'前提'!$B$51,IF(1&lt;=48,'前提'!$B$52,'前提'!$B$53))))))</f>
        <v>322500</v>
      </c>
      <c r="C26" s="17">
        <f>IF(2&lt;=6,'前提'!$B$23*'前提'!$B$24,IF(2&lt;=12,'前提'!$B$23*'前提'!$B$25,'前提'!$B$26*IF(2&lt;=18,'前提'!$B$49,IF(2&lt;=24,'前提'!$B$50,IF(2&lt;=36,'前提'!$B$51,IF(2&lt;=48,'前提'!$B$52,'前提'!$B$53))))))</f>
        <v>322500</v>
      </c>
      <c r="D26" s="17">
        <f>IF(3&lt;=6,'前提'!$B$23*'前提'!$B$24,IF(3&lt;=12,'前提'!$B$23*'前提'!$B$25,'前提'!$B$26*IF(3&lt;=18,'前提'!$B$49,IF(3&lt;=24,'前提'!$B$50,IF(3&lt;=36,'前提'!$B$51,IF(3&lt;=48,'前提'!$B$52,'前提'!$B$53))))))</f>
        <v>322500</v>
      </c>
      <c r="E26" s="17">
        <f>IF(4&lt;=6,'前提'!$B$23*'前提'!$B$24,IF(4&lt;=12,'前提'!$B$23*'前提'!$B$25,'前提'!$B$26*IF(4&lt;=18,'前提'!$B$49,IF(4&lt;=24,'前提'!$B$50,IF(4&lt;=36,'前提'!$B$51,IF(4&lt;=48,'前提'!$B$52,'前提'!$B$53))))))</f>
        <v>322500</v>
      </c>
      <c r="F26" s="17">
        <f>IF(5&lt;=6,'前提'!$B$23*'前提'!$B$24,IF(5&lt;=12,'前提'!$B$23*'前提'!$B$25,'前提'!$B$26*IF(5&lt;=18,'前提'!$B$49,IF(5&lt;=24,'前提'!$B$50,IF(5&lt;=36,'前提'!$B$51,IF(5&lt;=48,'前提'!$B$52,'前提'!$B$53))))))</f>
        <v>322500</v>
      </c>
      <c r="G26" s="17">
        <f>IF(6&lt;=6,'前提'!$B$23*'前提'!$B$24,IF(6&lt;=12,'前提'!$B$23*'前提'!$B$25,'前提'!$B$26*IF(6&lt;=18,'前提'!$B$49,IF(6&lt;=24,'前提'!$B$50,IF(6&lt;=36,'前提'!$B$51,IF(6&lt;=48,'前提'!$B$52,'前提'!$B$53))))))</f>
        <v>322500</v>
      </c>
      <c r="H26" s="17">
        <f>IF(7&lt;=6,'前提'!$B$23*'前提'!$B$24,IF(7&lt;=12,'前提'!$B$23*'前提'!$B$25,'前提'!$B$26*IF(7&lt;=18,'前提'!$B$49,IF(7&lt;=24,'前提'!$B$50,IF(7&lt;=36,'前提'!$B$51,IF(7&lt;=48,'前提'!$B$52,'前提'!$B$53))))))</f>
        <v>200000</v>
      </c>
      <c r="I26" s="17">
        <f>IF(8&lt;=6,'前提'!$B$23*'前提'!$B$24,IF(8&lt;=12,'前提'!$B$23*'前提'!$B$25,'前提'!$B$26*IF(8&lt;=18,'前提'!$B$49,IF(8&lt;=24,'前提'!$B$50,IF(8&lt;=36,'前提'!$B$51,IF(8&lt;=48,'前提'!$B$52,'前提'!$B$53))))))</f>
        <v>200000</v>
      </c>
      <c r="J26" s="17">
        <f>IF(9&lt;=6,'前提'!$B$23*'前提'!$B$24,IF(9&lt;=12,'前提'!$B$23*'前提'!$B$25,'前提'!$B$26*IF(9&lt;=18,'前提'!$B$49,IF(9&lt;=24,'前提'!$B$50,IF(9&lt;=36,'前提'!$B$51,IF(9&lt;=48,'前提'!$B$52,'前提'!$B$53))))))</f>
        <v>200000</v>
      </c>
      <c r="K26" s="17">
        <f>IF(10&lt;=6,'前提'!$B$23*'前提'!$B$24,IF(10&lt;=12,'前提'!$B$23*'前提'!$B$25,'前提'!$B$26*IF(10&lt;=18,'前提'!$B$49,IF(10&lt;=24,'前提'!$B$50,IF(10&lt;=36,'前提'!$B$51,IF(10&lt;=48,'前提'!$B$52,'前提'!$B$53))))))</f>
        <v>200000</v>
      </c>
      <c r="L26" s="17">
        <f>IF(11&lt;=6,'前提'!$B$23*'前提'!$B$24,IF(11&lt;=12,'前提'!$B$23*'前提'!$B$25,'前提'!$B$26*IF(11&lt;=18,'前提'!$B$49,IF(11&lt;=24,'前提'!$B$50,IF(11&lt;=36,'前提'!$B$51,IF(11&lt;=48,'前提'!$B$52,'前提'!$B$53))))))</f>
        <v>200000</v>
      </c>
      <c r="M26" s="17">
        <f>IF(12&lt;=6,'前提'!$B$23*'前提'!$B$24,IF(12&lt;=12,'前提'!$B$23*'前提'!$B$25,'前提'!$B$26*IF(12&lt;=18,'前提'!$B$49,IF(12&lt;=24,'前提'!$B$50,IF(12&lt;=36,'前提'!$B$51,IF(12&lt;=48,'前提'!$B$52,'前提'!$B$53))))))</f>
        <v>200000</v>
      </c>
      <c r="N26" s="17">
        <f>IF(13&lt;=6,'前提'!$B$23*'前提'!$B$24,IF(13&lt;=12,'前提'!$B$23*'前提'!$B$25,'前提'!$B$26*IF(13&lt;=18,'前提'!$B$49,IF(13&lt;=24,'前提'!$B$50,IF(13&lt;=36,'前提'!$B$51,IF(13&lt;=48,'前提'!$B$52,'前提'!$B$53))))))</f>
        <v>700000</v>
      </c>
      <c r="O26" s="17">
        <f>IF(14&lt;=6,'前提'!$B$23*'前提'!$B$24,IF(14&lt;=12,'前提'!$B$23*'前提'!$B$25,'前提'!$B$26*IF(14&lt;=18,'前提'!$B$49,IF(14&lt;=24,'前提'!$B$50,IF(14&lt;=36,'前提'!$B$51,IF(14&lt;=48,'前提'!$B$52,'前提'!$B$53))))))</f>
        <v>700000</v>
      </c>
      <c r="P26" s="17">
        <f>IF(15&lt;=6,'前提'!$B$23*'前提'!$B$24,IF(15&lt;=12,'前提'!$B$23*'前提'!$B$25,'前提'!$B$26*IF(15&lt;=18,'前提'!$B$49,IF(15&lt;=24,'前提'!$B$50,IF(15&lt;=36,'前提'!$B$51,IF(15&lt;=48,'前提'!$B$52,'前提'!$B$53))))))</f>
        <v>700000</v>
      </c>
      <c r="Q26" s="17">
        <f>IF(16&lt;=6,'前提'!$B$23*'前提'!$B$24,IF(16&lt;=12,'前提'!$B$23*'前提'!$B$25,'前提'!$B$26*IF(16&lt;=18,'前提'!$B$49,IF(16&lt;=24,'前提'!$B$50,IF(16&lt;=36,'前提'!$B$51,IF(16&lt;=48,'前提'!$B$52,'前提'!$B$53))))))</f>
        <v>700000</v>
      </c>
      <c r="R26" s="17">
        <f>IF(17&lt;=6,'前提'!$B$23*'前提'!$B$24,IF(17&lt;=12,'前提'!$B$23*'前提'!$B$25,'前提'!$B$26*IF(17&lt;=18,'前提'!$B$49,IF(17&lt;=24,'前提'!$B$50,IF(17&lt;=36,'前提'!$B$51,IF(17&lt;=48,'前提'!$B$52,'前提'!$B$53))))))</f>
        <v>700000</v>
      </c>
      <c r="S26" s="17">
        <f>IF(18&lt;=6,'前提'!$B$23*'前提'!$B$24,IF(18&lt;=12,'前提'!$B$23*'前提'!$B$25,'前提'!$B$26*IF(18&lt;=18,'前提'!$B$49,IF(18&lt;=24,'前提'!$B$50,IF(18&lt;=36,'前提'!$B$51,IF(18&lt;=48,'前提'!$B$52,'前提'!$B$53))))))</f>
        <v>700000</v>
      </c>
      <c r="T26" s="17">
        <f>IF(19&lt;=6,'前提'!$B$23*'前提'!$B$24,IF(19&lt;=12,'前提'!$B$23*'前提'!$B$25,'前提'!$B$26*IF(19&lt;=18,'前提'!$B$49,IF(19&lt;=24,'前提'!$B$50,IF(19&lt;=36,'前提'!$B$51,IF(19&lt;=48,'前提'!$B$52,'前提'!$B$53))))))</f>
        <v>700000</v>
      </c>
      <c r="U26" s="17">
        <f>IF(20&lt;=6,'前提'!$B$23*'前提'!$B$24,IF(20&lt;=12,'前提'!$B$23*'前提'!$B$25,'前提'!$B$26*IF(20&lt;=18,'前提'!$B$49,IF(20&lt;=24,'前提'!$B$50,IF(20&lt;=36,'前提'!$B$51,IF(20&lt;=48,'前提'!$B$52,'前提'!$B$53))))))</f>
        <v>700000</v>
      </c>
      <c r="V26" s="17">
        <f>IF(21&lt;=6,'前提'!$B$23*'前提'!$B$24,IF(21&lt;=12,'前提'!$B$23*'前提'!$B$25,'前提'!$B$26*IF(21&lt;=18,'前提'!$B$49,IF(21&lt;=24,'前提'!$B$50,IF(21&lt;=36,'前提'!$B$51,IF(21&lt;=48,'前提'!$B$52,'前提'!$B$53))))))</f>
        <v>700000</v>
      </c>
      <c r="W26" s="17">
        <f>IF(22&lt;=6,'前提'!$B$23*'前提'!$B$24,IF(22&lt;=12,'前提'!$B$23*'前提'!$B$25,'前提'!$B$26*IF(22&lt;=18,'前提'!$B$49,IF(22&lt;=24,'前提'!$B$50,IF(22&lt;=36,'前提'!$B$51,IF(22&lt;=48,'前提'!$B$52,'前提'!$B$53))))))</f>
        <v>700000</v>
      </c>
      <c r="X26" s="17">
        <f>IF(23&lt;=6,'前提'!$B$23*'前提'!$B$24,IF(23&lt;=12,'前提'!$B$23*'前提'!$B$25,'前提'!$B$26*IF(23&lt;=18,'前提'!$B$49,IF(23&lt;=24,'前提'!$B$50,IF(23&lt;=36,'前提'!$B$51,IF(23&lt;=48,'前提'!$B$52,'前提'!$B$53))))))</f>
        <v>700000</v>
      </c>
      <c r="Y26" s="17">
        <f>IF(24&lt;=6,'前提'!$B$23*'前提'!$B$24,IF(24&lt;=12,'前提'!$B$23*'前提'!$B$25,'前提'!$B$26*IF(24&lt;=18,'前提'!$B$49,IF(24&lt;=24,'前提'!$B$50,IF(24&lt;=36,'前提'!$B$51,IF(24&lt;=48,'前提'!$B$52,'前提'!$B$53))))))</f>
        <v>700000</v>
      </c>
      <c r="Z26" s="17">
        <f>IF(25&lt;=6,'前提'!$B$23*'前提'!$B$24,IF(25&lt;=12,'前提'!$B$23*'前提'!$B$25,'前提'!$B$26*IF(25&lt;=18,'前提'!$B$49,IF(25&lt;=24,'前提'!$B$50,IF(25&lt;=36,'前提'!$B$51,IF(25&lt;=48,'前提'!$B$52,'前提'!$B$53))))))</f>
        <v>1400000</v>
      </c>
      <c r="AA26" s="17">
        <f>IF(26&lt;=6,'前提'!$B$23*'前提'!$B$24,IF(26&lt;=12,'前提'!$B$23*'前提'!$B$25,'前提'!$B$26*IF(26&lt;=18,'前提'!$B$49,IF(26&lt;=24,'前提'!$B$50,IF(26&lt;=36,'前提'!$B$51,IF(26&lt;=48,'前提'!$B$52,'前提'!$B$53))))))</f>
        <v>1400000</v>
      </c>
      <c r="AB26" s="17">
        <f>IF(27&lt;=6,'前提'!$B$23*'前提'!$B$24,IF(27&lt;=12,'前提'!$B$23*'前提'!$B$25,'前提'!$B$26*IF(27&lt;=18,'前提'!$B$49,IF(27&lt;=24,'前提'!$B$50,IF(27&lt;=36,'前提'!$B$51,IF(27&lt;=48,'前提'!$B$52,'前提'!$B$53))))))</f>
        <v>1400000</v>
      </c>
      <c r="AC26" s="17">
        <f>IF(28&lt;=6,'前提'!$B$23*'前提'!$B$24,IF(28&lt;=12,'前提'!$B$23*'前提'!$B$25,'前提'!$B$26*IF(28&lt;=18,'前提'!$B$49,IF(28&lt;=24,'前提'!$B$50,IF(28&lt;=36,'前提'!$B$51,IF(28&lt;=48,'前提'!$B$52,'前提'!$B$53))))))</f>
        <v>1400000</v>
      </c>
      <c r="AD26" s="17">
        <f>IF(29&lt;=6,'前提'!$B$23*'前提'!$B$24,IF(29&lt;=12,'前提'!$B$23*'前提'!$B$25,'前提'!$B$26*IF(29&lt;=18,'前提'!$B$49,IF(29&lt;=24,'前提'!$B$50,IF(29&lt;=36,'前提'!$B$51,IF(29&lt;=48,'前提'!$B$52,'前提'!$B$53))))))</f>
        <v>1400000</v>
      </c>
      <c r="AE26" s="17">
        <f>IF(30&lt;=6,'前提'!$B$23*'前提'!$B$24,IF(30&lt;=12,'前提'!$B$23*'前提'!$B$25,'前提'!$B$26*IF(30&lt;=18,'前提'!$B$49,IF(30&lt;=24,'前提'!$B$50,IF(30&lt;=36,'前提'!$B$51,IF(30&lt;=48,'前提'!$B$52,'前提'!$B$53))))))</f>
        <v>1400000</v>
      </c>
      <c r="AF26" s="17">
        <f>IF(31&lt;=6,'前提'!$B$23*'前提'!$B$24,IF(31&lt;=12,'前提'!$B$23*'前提'!$B$25,'前提'!$B$26*IF(31&lt;=18,'前提'!$B$49,IF(31&lt;=24,'前提'!$B$50,IF(31&lt;=36,'前提'!$B$51,IF(31&lt;=48,'前提'!$B$52,'前提'!$B$53))))))</f>
        <v>1400000</v>
      </c>
      <c r="AG26" s="17">
        <f>IF(32&lt;=6,'前提'!$B$23*'前提'!$B$24,IF(32&lt;=12,'前提'!$B$23*'前提'!$B$25,'前提'!$B$26*IF(32&lt;=18,'前提'!$B$49,IF(32&lt;=24,'前提'!$B$50,IF(32&lt;=36,'前提'!$B$51,IF(32&lt;=48,'前提'!$B$52,'前提'!$B$53))))))</f>
        <v>1400000</v>
      </c>
      <c r="AH26" s="17">
        <f>IF(33&lt;=6,'前提'!$B$23*'前提'!$B$24,IF(33&lt;=12,'前提'!$B$23*'前提'!$B$25,'前提'!$B$26*IF(33&lt;=18,'前提'!$B$49,IF(33&lt;=24,'前提'!$B$50,IF(33&lt;=36,'前提'!$B$51,IF(33&lt;=48,'前提'!$B$52,'前提'!$B$53))))))</f>
        <v>1400000</v>
      </c>
      <c r="AI26" s="17">
        <f>IF(34&lt;=6,'前提'!$B$23*'前提'!$B$24,IF(34&lt;=12,'前提'!$B$23*'前提'!$B$25,'前提'!$B$26*IF(34&lt;=18,'前提'!$B$49,IF(34&lt;=24,'前提'!$B$50,IF(34&lt;=36,'前提'!$B$51,IF(34&lt;=48,'前提'!$B$52,'前提'!$B$53))))))</f>
        <v>1400000</v>
      </c>
      <c r="AJ26" s="17">
        <f>IF(35&lt;=6,'前提'!$B$23*'前提'!$B$24,IF(35&lt;=12,'前提'!$B$23*'前提'!$B$25,'前提'!$B$26*IF(35&lt;=18,'前提'!$B$49,IF(35&lt;=24,'前提'!$B$50,IF(35&lt;=36,'前提'!$B$51,IF(35&lt;=48,'前提'!$B$52,'前提'!$B$53))))))</f>
        <v>1400000</v>
      </c>
      <c r="AK26" s="17">
        <f>IF(36&lt;=6,'前提'!$B$23*'前提'!$B$24,IF(36&lt;=12,'前提'!$B$23*'前提'!$B$25,'前提'!$B$26*IF(36&lt;=18,'前提'!$B$49,IF(36&lt;=24,'前提'!$B$50,IF(36&lt;=36,'前提'!$B$51,IF(36&lt;=48,'前提'!$B$52,'前提'!$B$53))))))</f>
        <v>1400000</v>
      </c>
      <c r="AL26" s="17">
        <f>IF(37&lt;=6,'前提'!$B$23*'前提'!$B$24,IF(37&lt;=12,'前提'!$B$23*'前提'!$B$25,'前提'!$B$26*IF(37&lt;=18,'前提'!$B$49,IF(37&lt;=24,'前提'!$B$50,IF(37&lt;=36,'前提'!$B$51,IF(37&lt;=48,'前提'!$B$52,'前提'!$B$53))))))</f>
        <v>1400000</v>
      </c>
      <c r="AM26" s="17">
        <f>IF(38&lt;=6,'前提'!$B$23*'前提'!$B$24,IF(38&lt;=12,'前提'!$B$23*'前提'!$B$25,'前提'!$B$26*IF(38&lt;=18,'前提'!$B$49,IF(38&lt;=24,'前提'!$B$50,IF(38&lt;=36,'前提'!$B$51,IF(38&lt;=48,'前提'!$B$52,'前提'!$B$53))))))</f>
        <v>1400000</v>
      </c>
      <c r="AN26" s="17">
        <f>IF(39&lt;=6,'前提'!$B$23*'前提'!$B$24,IF(39&lt;=12,'前提'!$B$23*'前提'!$B$25,'前提'!$B$26*IF(39&lt;=18,'前提'!$B$49,IF(39&lt;=24,'前提'!$B$50,IF(39&lt;=36,'前提'!$B$51,IF(39&lt;=48,'前提'!$B$52,'前提'!$B$53))))))</f>
        <v>1400000</v>
      </c>
      <c r="AO26" s="17">
        <f>IF(40&lt;=6,'前提'!$B$23*'前提'!$B$24,IF(40&lt;=12,'前提'!$B$23*'前提'!$B$25,'前提'!$B$26*IF(40&lt;=18,'前提'!$B$49,IF(40&lt;=24,'前提'!$B$50,IF(40&lt;=36,'前提'!$B$51,IF(40&lt;=48,'前提'!$B$52,'前提'!$B$53))))))</f>
        <v>1400000</v>
      </c>
      <c r="AP26" s="17">
        <f>IF(41&lt;=6,'前提'!$B$23*'前提'!$B$24,IF(41&lt;=12,'前提'!$B$23*'前提'!$B$25,'前提'!$B$26*IF(41&lt;=18,'前提'!$B$49,IF(41&lt;=24,'前提'!$B$50,IF(41&lt;=36,'前提'!$B$51,IF(41&lt;=48,'前提'!$B$52,'前提'!$B$53))))))</f>
        <v>1400000</v>
      </c>
      <c r="AQ26" s="17">
        <f>IF(42&lt;=6,'前提'!$B$23*'前提'!$B$24,IF(42&lt;=12,'前提'!$B$23*'前提'!$B$25,'前提'!$B$26*IF(42&lt;=18,'前提'!$B$49,IF(42&lt;=24,'前提'!$B$50,IF(42&lt;=36,'前提'!$B$51,IF(42&lt;=48,'前提'!$B$52,'前提'!$B$53))))))</f>
        <v>1400000</v>
      </c>
      <c r="AR26" s="17">
        <f>IF(43&lt;=6,'前提'!$B$23*'前提'!$B$24,IF(43&lt;=12,'前提'!$B$23*'前提'!$B$25,'前提'!$B$26*IF(43&lt;=18,'前提'!$B$49,IF(43&lt;=24,'前提'!$B$50,IF(43&lt;=36,'前提'!$B$51,IF(43&lt;=48,'前提'!$B$52,'前提'!$B$53))))))</f>
        <v>1400000</v>
      </c>
      <c r="AS26" s="17">
        <f>IF(44&lt;=6,'前提'!$B$23*'前提'!$B$24,IF(44&lt;=12,'前提'!$B$23*'前提'!$B$25,'前提'!$B$26*IF(44&lt;=18,'前提'!$B$49,IF(44&lt;=24,'前提'!$B$50,IF(44&lt;=36,'前提'!$B$51,IF(44&lt;=48,'前提'!$B$52,'前提'!$B$53))))))</f>
        <v>1400000</v>
      </c>
      <c r="AT26" s="17">
        <f>IF(45&lt;=6,'前提'!$B$23*'前提'!$B$24,IF(45&lt;=12,'前提'!$B$23*'前提'!$B$25,'前提'!$B$26*IF(45&lt;=18,'前提'!$B$49,IF(45&lt;=24,'前提'!$B$50,IF(45&lt;=36,'前提'!$B$51,IF(45&lt;=48,'前提'!$B$52,'前提'!$B$53))))))</f>
        <v>1400000</v>
      </c>
      <c r="AU26" s="17">
        <f>IF(46&lt;=6,'前提'!$B$23*'前提'!$B$24,IF(46&lt;=12,'前提'!$B$23*'前提'!$B$25,'前提'!$B$26*IF(46&lt;=18,'前提'!$B$49,IF(46&lt;=24,'前提'!$B$50,IF(46&lt;=36,'前提'!$B$51,IF(46&lt;=48,'前提'!$B$52,'前提'!$B$53))))))</f>
        <v>1400000</v>
      </c>
      <c r="AV26" s="17">
        <f>IF(47&lt;=6,'前提'!$B$23*'前提'!$B$24,IF(47&lt;=12,'前提'!$B$23*'前提'!$B$25,'前提'!$B$26*IF(47&lt;=18,'前提'!$B$49,IF(47&lt;=24,'前提'!$B$50,IF(47&lt;=36,'前提'!$B$51,IF(47&lt;=48,'前提'!$B$52,'前提'!$B$53))))))</f>
        <v>1400000</v>
      </c>
      <c r="AW26" s="17">
        <f>IF(48&lt;=6,'前提'!$B$23*'前提'!$B$24,IF(48&lt;=12,'前提'!$B$23*'前提'!$B$25,'前提'!$B$26*IF(48&lt;=18,'前提'!$B$49,IF(48&lt;=24,'前提'!$B$50,IF(48&lt;=36,'前提'!$B$51,IF(48&lt;=48,'前提'!$B$52,'前提'!$B$53))))))</f>
        <v>1400000</v>
      </c>
      <c r="AX26" s="17">
        <f>IF(49&lt;=6,'前提'!$B$23*'前提'!$B$24,IF(49&lt;=12,'前提'!$B$23*'前提'!$B$25,'前提'!$B$26*IF(49&lt;=18,'前提'!$B$49,IF(49&lt;=24,'前提'!$B$50,IF(49&lt;=36,'前提'!$B$51,IF(49&lt;=48,'前提'!$B$52,'前提'!$B$53))))))</f>
        <v>1400000</v>
      </c>
      <c r="AY26" s="17">
        <f>IF(50&lt;=6,'前提'!$B$23*'前提'!$B$24,IF(50&lt;=12,'前提'!$B$23*'前提'!$B$25,'前提'!$B$26*IF(50&lt;=18,'前提'!$B$49,IF(50&lt;=24,'前提'!$B$50,IF(50&lt;=36,'前提'!$B$51,IF(50&lt;=48,'前提'!$B$52,'前提'!$B$53))))))</f>
        <v>1400000</v>
      </c>
      <c r="AZ26" s="17">
        <f>IF(51&lt;=6,'前提'!$B$23*'前提'!$B$24,IF(51&lt;=12,'前提'!$B$23*'前提'!$B$25,'前提'!$B$26*IF(51&lt;=18,'前提'!$B$49,IF(51&lt;=24,'前提'!$B$50,IF(51&lt;=36,'前提'!$B$51,IF(51&lt;=48,'前提'!$B$52,'前提'!$B$53))))))</f>
        <v>1400000</v>
      </c>
      <c r="BA26" s="17">
        <f>IF(52&lt;=6,'前提'!$B$23*'前提'!$B$24,IF(52&lt;=12,'前提'!$B$23*'前提'!$B$25,'前提'!$B$26*IF(52&lt;=18,'前提'!$B$49,IF(52&lt;=24,'前提'!$B$50,IF(52&lt;=36,'前提'!$B$51,IF(52&lt;=48,'前提'!$B$52,'前提'!$B$53))))))</f>
        <v>1400000</v>
      </c>
      <c r="BB26" s="17">
        <f>IF(53&lt;=6,'前提'!$B$23*'前提'!$B$24,IF(53&lt;=12,'前提'!$B$23*'前提'!$B$25,'前提'!$B$26*IF(53&lt;=18,'前提'!$B$49,IF(53&lt;=24,'前提'!$B$50,IF(53&lt;=36,'前提'!$B$51,IF(53&lt;=48,'前提'!$B$52,'前提'!$B$53))))))</f>
        <v>1400000</v>
      </c>
      <c r="BC26" s="17">
        <f>IF(54&lt;=6,'前提'!$B$23*'前提'!$B$24,IF(54&lt;=12,'前提'!$B$23*'前提'!$B$25,'前提'!$B$26*IF(54&lt;=18,'前提'!$B$49,IF(54&lt;=24,'前提'!$B$50,IF(54&lt;=36,'前提'!$B$51,IF(54&lt;=48,'前提'!$B$52,'前提'!$B$53))))))</f>
        <v>1400000</v>
      </c>
      <c r="BD26" s="17">
        <f>IF(55&lt;=6,'前提'!$B$23*'前提'!$B$24,IF(55&lt;=12,'前提'!$B$23*'前提'!$B$25,'前提'!$B$26*IF(55&lt;=18,'前提'!$B$49,IF(55&lt;=24,'前提'!$B$50,IF(55&lt;=36,'前提'!$B$51,IF(55&lt;=48,'前提'!$B$52,'前提'!$B$53))))))</f>
        <v>1400000</v>
      </c>
      <c r="BE26" s="17">
        <f>IF(56&lt;=6,'前提'!$B$23*'前提'!$B$24,IF(56&lt;=12,'前提'!$B$23*'前提'!$B$25,'前提'!$B$26*IF(56&lt;=18,'前提'!$B$49,IF(56&lt;=24,'前提'!$B$50,IF(56&lt;=36,'前提'!$B$51,IF(56&lt;=48,'前提'!$B$52,'前提'!$B$53))))))</f>
        <v>1400000</v>
      </c>
      <c r="BF26" s="17">
        <f>IF(57&lt;=6,'前提'!$B$23*'前提'!$B$24,IF(57&lt;=12,'前提'!$B$23*'前提'!$B$25,'前提'!$B$26*IF(57&lt;=18,'前提'!$B$49,IF(57&lt;=24,'前提'!$B$50,IF(57&lt;=36,'前提'!$B$51,IF(57&lt;=48,'前提'!$B$52,'前提'!$B$53))))))</f>
        <v>1400000</v>
      </c>
      <c r="BG26" s="17">
        <f>IF(58&lt;=6,'前提'!$B$23*'前提'!$B$24,IF(58&lt;=12,'前提'!$B$23*'前提'!$B$25,'前提'!$B$26*IF(58&lt;=18,'前提'!$B$49,IF(58&lt;=24,'前提'!$B$50,IF(58&lt;=36,'前提'!$B$51,IF(58&lt;=48,'前提'!$B$52,'前提'!$B$53))))))</f>
        <v>1400000</v>
      </c>
      <c r="BH26" s="17">
        <f>IF(59&lt;=6,'前提'!$B$23*'前提'!$B$24,IF(59&lt;=12,'前提'!$B$23*'前提'!$B$25,'前提'!$B$26*IF(59&lt;=18,'前提'!$B$49,IF(59&lt;=24,'前提'!$B$50,IF(59&lt;=36,'前提'!$B$51,IF(59&lt;=48,'前提'!$B$52,'前提'!$B$53))))))</f>
        <v>1400000</v>
      </c>
      <c r="BI26" s="17">
        <f>IF(60&lt;=6,'前提'!$B$23*'前提'!$B$24,IF(60&lt;=12,'前提'!$B$23*'前提'!$B$25,'前提'!$B$26*IF(60&lt;=18,'前提'!$B$49,IF(60&lt;=24,'前提'!$B$50,IF(60&lt;=36,'前提'!$B$51,IF(60&lt;=48,'前提'!$B$52,'前提'!$B$53))))))</f>
        <v>1400000</v>
      </c>
    </row>
    <row r="27" ht="15.75" customHeight="1">
      <c r="A27" s="3" t="s">
        <v>189</v>
      </c>
      <c r="B27" s="17">
        <f>IF(1&lt;=6,0,CEILING(B10/'前提'!$B$44,1)*'前提'!$B$30)</f>
        <v>0</v>
      </c>
      <c r="C27" s="17">
        <f>IF(2&lt;=6,0,CEILING(C10/'前提'!$B$44,1)*'前提'!$B$30)</f>
        <v>0</v>
      </c>
      <c r="D27" s="17">
        <f>IF(3&lt;=6,0,CEILING(D10/'前提'!$B$44,1)*'前提'!$B$30)</f>
        <v>0</v>
      </c>
      <c r="E27" s="17">
        <f>IF(4&lt;=6,0,CEILING(E10/'前提'!$B$44,1)*'前提'!$B$30)</f>
        <v>0</v>
      </c>
      <c r="F27" s="17">
        <f>IF(5&lt;=6,0,CEILING(F10/'前提'!$B$44,1)*'前提'!$B$30)</f>
        <v>0</v>
      </c>
      <c r="G27" s="17">
        <f>IF(6&lt;=6,0,CEILING(G10/'前提'!$B$44,1)*'前提'!$B$30)</f>
        <v>0</v>
      </c>
      <c r="H27" s="17">
        <f>IF(7&lt;=6,0,CEILING(H10/'前提'!$B$44,1)*'前提'!$B$30)</f>
        <v>350000</v>
      </c>
      <c r="I27" s="17">
        <f>IF(8&lt;=6,0,CEILING(I10/'前提'!$B$44,1)*'前提'!$B$30)</f>
        <v>350000</v>
      </c>
      <c r="J27" s="17">
        <f>IF(9&lt;=6,0,CEILING(J10/'前提'!$B$44,1)*'前提'!$B$30)</f>
        <v>350000</v>
      </c>
      <c r="K27" s="17">
        <f>IF(10&lt;=6,0,CEILING(K10/'前提'!$B$44,1)*'前提'!$B$30)</f>
        <v>700000</v>
      </c>
      <c r="L27" s="17">
        <f>IF(11&lt;=6,0,CEILING(L10/'前提'!$B$44,1)*'前提'!$B$30)</f>
        <v>700000</v>
      </c>
      <c r="M27" s="17">
        <f>IF(12&lt;=6,0,CEILING(M10/'前提'!$B$44,1)*'前提'!$B$30)</f>
        <v>700000</v>
      </c>
      <c r="N27" s="17">
        <f>IF(13&lt;=6,0,CEILING(N10/'前提'!$B$44,1)*'前提'!$B$30)</f>
        <v>700000</v>
      </c>
      <c r="O27" s="17">
        <f>IF(14&lt;=6,0,CEILING(O10/'前提'!$B$44,1)*'前提'!$B$30)</f>
        <v>700000</v>
      </c>
      <c r="P27" s="17">
        <f>IF(15&lt;=6,0,CEILING(P10/'前提'!$B$44,1)*'前提'!$B$30)</f>
        <v>700000</v>
      </c>
      <c r="Q27" s="17">
        <f>IF(16&lt;=6,0,CEILING(Q10/'前提'!$B$44,1)*'前提'!$B$30)</f>
        <v>700000</v>
      </c>
      <c r="R27" s="17">
        <f>IF(17&lt;=6,0,CEILING(R10/'前提'!$B$44,1)*'前提'!$B$30)</f>
        <v>1050000</v>
      </c>
      <c r="S27" s="17">
        <f>IF(18&lt;=6,0,CEILING(S10/'前提'!$B$44,1)*'前提'!$B$30)</f>
        <v>1050000</v>
      </c>
      <c r="T27" s="17">
        <f>IF(19&lt;=6,0,CEILING(T10/'前提'!$B$44,1)*'前提'!$B$30)</f>
        <v>1050000</v>
      </c>
      <c r="U27" s="17">
        <f>IF(20&lt;=6,0,CEILING(U10/'前提'!$B$44,1)*'前提'!$B$30)</f>
        <v>1050000</v>
      </c>
      <c r="V27" s="17">
        <f>IF(21&lt;=6,0,CEILING(V10/'前提'!$B$44,1)*'前提'!$B$30)</f>
        <v>1050000</v>
      </c>
      <c r="W27" s="17">
        <f>IF(22&lt;=6,0,CEILING(W10/'前提'!$B$44,1)*'前提'!$B$30)</f>
        <v>1050000</v>
      </c>
      <c r="X27" s="17">
        <f>IF(23&lt;=6,0,CEILING(X10/'前提'!$B$44,1)*'前提'!$B$30)</f>
        <v>1400000</v>
      </c>
      <c r="Y27" s="17">
        <f>IF(24&lt;=6,0,CEILING(Y10/'前提'!$B$44,1)*'前提'!$B$30)</f>
        <v>1400000</v>
      </c>
      <c r="Z27" s="17">
        <f>IF(25&lt;=6,0,CEILING(Z10/'前提'!$B$44,1)*'前提'!$B$30)</f>
        <v>1400000</v>
      </c>
      <c r="AA27" s="17">
        <f>IF(26&lt;=6,0,CEILING(AA10/'前提'!$B$44,1)*'前提'!$B$30)</f>
        <v>1400000</v>
      </c>
      <c r="AB27" s="17">
        <f>IF(27&lt;=6,0,CEILING(AB10/'前提'!$B$44,1)*'前提'!$B$30)</f>
        <v>1400000</v>
      </c>
      <c r="AC27" s="17">
        <f>IF(28&lt;=6,0,CEILING(AC10/'前提'!$B$44,1)*'前提'!$B$30)</f>
        <v>1750000</v>
      </c>
      <c r="AD27" s="17">
        <f>IF(29&lt;=6,0,CEILING(AD10/'前提'!$B$44,1)*'前提'!$B$30)</f>
        <v>1750000</v>
      </c>
      <c r="AE27" s="17">
        <f>IF(30&lt;=6,0,CEILING(AE10/'前提'!$B$44,1)*'前提'!$B$30)</f>
        <v>1750000</v>
      </c>
      <c r="AF27" s="17">
        <f>IF(31&lt;=6,0,CEILING(AF10/'前提'!$B$44,1)*'前提'!$B$30)</f>
        <v>1750000</v>
      </c>
      <c r="AG27" s="17">
        <f>IF(32&lt;=6,0,CEILING(AG10/'前提'!$B$44,1)*'前提'!$B$30)</f>
        <v>1750000</v>
      </c>
      <c r="AH27" s="17">
        <f>IF(33&lt;=6,0,CEILING(AH10/'前提'!$B$44,1)*'前提'!$B$30)</f>
        <v>2100000</v>
      </c>
      <c r="AI27" s="17">
        <f>IF(34&lt;=6,0,CEILING(AI10/'前提'!$B$44,1)*'前提'!$B$30)</f>
        <v>2100000</v>
      </c>
      <c r="AJ27" s="17">
        <f>IF(35&lt;=6,0,CEILING(AJ10/'前提'!$B$44,1)*'前提'!$B$30)</f>
        <v>2100000</v>
      </c>
      <c r="AK27" s="17">
        <f>IF(36&lt;=6,0,CEILING(AK10/'前提'!$B$44,1)*'前提'!$B$30)</f>
        <v>2100000</v>
      </c>
      <c r="AL27" s="17">
        <f>IF(37&lt;=6,0,CEILING(AL10/'前提'!$B$44,1)*'前提'!$B$30)</f>
        <v>2100000</v>
      </c>
      <c r="AM27" s="17">
        <f>IF(38&lt;=6,0,CEILING(AM10/'前提'!$B$44,1)*'前提'!$B$30)</f>
        <v>2450000</v>
      </c>
      <c r="AN27" s="17">
        <f>IF(39&lt;=6,0,CEILING(AN10/'前提'!$B$44,1)*'前提'!$B$30)</f>
        <v>2450000</v>
      </c>
      <c r="AO27" s="17">
        <f>IF(40&lt;=6,0,CEILING(AO10/'前提'!$B$44,1)*'前提'!$B$30)</f>
        <v>2450000</v>
      </c>
      <c r="AP27" s="17">
        <f>IF(41&lt;=6,0,CEILING(AP10/'前提'!$B$44,1)*'前提'!$B$30)</f>
        <v>2450000</v>
      </c>
      <c r="AQ27" s="17">
        <f>IF(42&lt;=6,0,CEILING(AQ10/'前提'!$B$44,1)*'前提'!$B$30)</f>
        <v>2450000</v>
      </c>
      <c r="AR27" s="17">
        <f>IF(43&lt;=6,0,CEILING(AR10/'前提'!$B$44,1)*'前提'!$B$30)</f>
        <v>2800000</v>
      </c>
      <c r="AS27" s="17">
        <f>IF(44&lt;=6,0,CEILING(AS10/'前提'!$B$44,1)*'前提'!$B$30)</f>
        <v>2800000</v>
      </c>
      <c r="AT27" s="17">
        <f>IF(45&lt;=6,0,CEILING(AT10/'前提'!$B$44,1)*'前提'!$B$30)</f>
        <v>2800000</v>
      </c>
      <c r="AU27" s="17">
        <f>IF(46&lt;=6,0,CEILING(AU10/'前提'!$B$44,1)*'前提'!$B$30)</f>
        <v>2800000</v>
      </c>
      <c r="AV27" s="17">
        <f>IF(47&lt;=6,0,CEILING(AV10/'前提'!$B$44,1)*'前提'!$B$30)</f>
        <v>2800000</v>
      </c>
      <c r="AW27" s="17">
        <f>IF(48&lt;=6,0,CEILING(AW10/'前提'!$B$44,1)*'前提'!$B$30)</f>
        <v>3150000</v>
      </c>
      <c r="AX27" s="17">
        <f>IF(49&lt;=6,0,CEILING(AX10/'前提'!$B$44,1)*'前提'!$B$30)</f>
        <v>3150000</v>
      </c>
      <c r="AY27" s="17">
        <f>IF(50&lt;=6,0,CEILING(AY10/'前提'!$B$44,1)*'前提'!$B$30)</f>
        <v>3150000</v>
      </c>
      <c r="AZ27" s="17">
        <f>IF(51&lt;=6,0,CEILING(AZ10/'前提'!$B$44,1)*'前提'!$B$30)</f>
        <v>3150000</v>
      </c>
      <c r="BA27" s="17">
        <f>IF(52&lt;=6,0,CEILING(BA10/'前提'!$B$44,1)*'前提'!$B$30)</f>
        <v>3500000</v>
      </c>
      <c r="BB27" s="17">
        <f>IF(53&lt;=6,0,CEILING(BB10/'前提'!$B$44,1)*'前提'!$B$30)</f>
        <v>3500000</v>
      </c>
      <c r="BC27" s="17">
        <f>IF(54&lt;=6,0,CEILING(BC10/'前提'!$B$44,1)*'前提'!$B$30)</f>
        <v>3500000</v>
      </c>
      <c r="BD27" s="17">
        <f>IF(55&lt;=6,0,CEILING(BD10/'前提'!$B$44,1)*'前提'!$B$30)</f>
        <v>3500000</v>
      </c>
      <c r="BE27" s="17">
        <f>IF(56&lt;=6,0,CEILING(BE10/'前提'!$B$44,1)*'前提'!$B$30)</f>
        <v>3850000</v>
      </c>
      <c r="BF27" s="17">
        <f>IF(57&lt;=6,0,CEILING(BF10/'前提'!$B$44,1)*'前提'!$B$30)</f>
        <v>3850000</v>
      </c>
      <c r="BG27" s="17">
        <f>IF(58&lt;=6,0,CEILING(BG10/'前提'!$B$44,1)*'前提'!$B$30)</f>
        <v>3850000</v>
      </c>
      <c r="BH27" s="17">
        <f>IF(59&lt;=6,0,CEILING(BH10/'前提'!$B$44,1)*'前提'!$B$30)</f>
        <v>3850000</v>
      </c>
      <c r="BI27" s="17">
        <f>IF(60&lt;=6,0,CEILING(BI10/'前提'!$B$44,1)*'前提'!$B$30)</f>
        <v>3850000</v>
      </c>
    </row>
    <row r="28" ht="15.75" customHeight="1">
      <c r="A28" s="9" t="s">
        <v>190</v>
      </c>
      <c r="B28" s="17">
        <f>'前提'!$B$29*IF(1&lt;=6,'前提'!$B$65,IF(1&lt;=12,'前提'!$B$66,IF(1&lt;=18,'前提'!$B$67,IF(1&lt;=24,'前提'!$B$68,IF(1&lt;=36,'前提'!$B$69,IF(1&lt;=48,'前提'!$B$70,'前提'!$B$71))))))</f>
        <v>200000</v>
      </c>
      <c r="C28" s="17">
        <f>'前提'!$B$29*IF(2&lt;=6,'前提'!$B$65,IF(2&lt;=12,'前提'!$B$66,IF(2&lt;=18,'前提'!$B$67,IF(2&lt;=24,'前提'!$B$68,IF(2&lt;=36,'前提'!$B$69,IF(2&lt;=48,'前提'!$B$70,'前提'!$B$71))))))</f>
        <v>200000</v>
      </c>
      <c r="D28" s="17">
        <f>'前提'!$B$29*IF(3&lt;=6,'前提'!$B$65,IF(3&lt;=12,'前提'!$B$66,IF(3&lt;=18,'前提'!$B$67,IF(3&lt;=24,'前提'!$B$68,IF(3&lt;=36,'前提'!$B$69,IF(3&lt;=48,'前提'!$B$70,'前提'!$B$71))))))</f>
        <v>200000</v>
      </c>
      <c r="E28" s="17">
        <f>'前提'!$B$29*IF(4&lt;=6,'前提'!$B$65,IF(4&lt;=12,'前提'!$B$66,IF(4&lt;=18,'前提'!$B$67,IF(4&lt;=24,'前提'!$B$68,IF(4&lt;=36,'前提'!$B$69,IF(4&lt;=48,'前提'!$B$70,'前提'!$B$71))))))</f>
        <v>200000</v>
      </c>
      <c r="F28" s="17">
        <f>'前提'!$B$29*IF(5&lt;=6,'前提'!$B$65,IF(5&lt;=12,'前提'!$B$66,IF(5&lt;=18,'前提'!$B$67,IF(5&lt;=24,'前提'!$B$68,IF(5&lt;=36,'前提'!$B$69,IF(5&lt;=48,'前提'!$B$70,'前提'!$B$71))))))</f>
        <v>200000</v>
      </c>
      <c r="G28" s="17">
        <f>'前提'!$B$29*IF(6&lt;=6,'前提'!$B$65,IF(6&lt;=12,'前提'!$B$66,IF(6&lt;=18,'前提'!$B$67,IF(6&lt;=24,'前提'!$B$68,IF(6&lt;=36,'前提'!$B$69,IF(6&lt;=48,'前提'!$B$70,'前提'!$B$71))))))</f>
        <v>200000</v>
      </c>
      <c r="H28" s="17">
        <f>'前提'!$B$29*IF(7&lt;=6,'前提'!$B$65,IF(7&lt;=12,'前提'!$B$66,IF(7&lt;=18,'前提'!$B$67,IF(7&lt;=24,'前提'!$B$68,IF(7&lt;=36,'前提'!$B$69,IF(7&lt;=48,'前提'!$B$70,'前提'!$B$71))))))</f>
        <v>200000</v>
      </c>
      <c r="I28" s="17">
        <f>'前提'!$B$29*IF(8&lt;=6,'前提'!$B$65,IF(8&lt;=12,'前提'!$B$66,IF(8&lt;=18,'前提'!$B$67,IF(8&lt;=24,'前提'!$B$68,IF(8&lt;=36,'前提'!$B$69,IF(8&lt;=48,'前提'!$B$70,'前提'!$B$71))))))</f>
        <v>200000</v>
      </c>
      <c r="J28" s="17">
        <f>'前提'!$B$29*IF(9&lt;=6,'前提'!$B$65,IF(9&lt;=12,'前提'!$B$66,IF(9&lt;=18,'前提'!$B$67,IF(9&lt;=24,'前提'!$B$68,IF(9&lt;=36,'前提'!$B$69,IF(9&lt;=48,'前提'!$B$70,'前提'!$B$71))))))</f>
        <v>200000</v>
      </c>
      <c r="K28" s="17">
        <f>'前提'!$B$29*IF(10&lt;=6,'前提'!$B$65,IF(10&lt;=12,'前提'!$B$66,IF(10&lt;=18,'前提'!$B$67,IF(10&lt;=24,'前提'!$B$68,IF(10&lt;=36,'前提'!$B$69,IF(10&lt;=48,'前提'!$B$70,'前提'!$B$71))))))</f>
        <v>200000</v>
      </c>
      <c r="L28" s="17">
        <f>'前提'!$B$29*IF(11&lt;=6,'前提'!$B$65,IF(11&lt;=12,'前提'!$B$66,IF(11&lt;=18,'前提'!$B$67,IF(11&lt;=24,'前提'!$B$68,IF(11&lt;=36,'前提'!$B$69,IF(11&lt;=48,'前提'!$B$70,'前提'!$B$71))))))</f>
        <v>200000</v>
      </c>
      <c r="M28" s="17">
        <f>'前提'!$B$29*IF(12&lt;=6,'前提'!$B$65,IF(12&lt;=12,'前提'!$B$66,IF(12&lt;=18,'前提'!$B$67,IF(12&lt;=24,'前提'!$B$68,IF(12&lt;=36,'前提'!$B$69,IF(12&lt;=48,'前提'!$B$70,'前提'!$B$71))))))</f>
        <v>200000</v>
      </c>
      <c r="N28" s="17">
        <f>'前提'!$B$29*IF(13&lt;=6,'前提'!$B$65,IF(13&lt;=12,'前提'!$B$66,IF(13&lt;=18,'前提'!$B$67,IF(13&lt;=24,'前提'!$B$68,IF(13&lt;=36,'前提'!$B$69,IF(13&lt;=48,'前提'!$B$70,'前提'!$B$71))))))</f>
        <v>200000</v>
      </c>
      <c r="O28" s="17">
        <f>'前提'!$B$29*IF(14&lt;=6,'前提'!$B$65,IF(14&lt;=12,'前提'!$B$66,IF(14&lt;=18,'前提'!$B$67,IF(14&lt;=24,'前提'!$B$68,IF(14&lt;=36,'前提'!$B$69,IF(14&lt;=48,'前提'!$B$70,'前提'!$B$71))))))</f>
        <v>200000</v>
      </c>
      <c r="P28" s="17">
        <f>'前提'!$B$29*IF(15&lt;=6,'前提'!$B$65,IF(15&lt;=12,'前提'!$B$66,IF(15&lt;=18,'前提'!$B$67,IF(15&lt;=24,'前提'!$B$68,IF(15&lt;=36,'前提'!$B$69,IF(15&lt;=48,'前提'!$B$70,'前提'!$B$71))))))</f>
        <v>200000</v>
      </c>
      <c r="Q28" s="17">
        <f>'前提'!$B$29*IF(16&lt;=6,'前提'!$B$65,IF(16&lt;=12,'前提'!$B$66,IF(16&lt;=18,'前提'!$B$67,IF(16&lt;=24,'前提'!$B$68,IF(16&lt;=36,'前提'!$B$69,IF(16&lt;=48,'前提'!$B$70,'前提'!$B$71))))))</f>
        <v>200000</v>
      </c>
      <c r="R28" s="17">
        <f>'前提'!$B$29*IF(17&lt;=6,'前提'!$B$65,IF(17&lt;=12,'前提'!$B$66,IF(17&lt;=18,'前提'!$B$67,IF(17&lt;=24,'前提'!$B$68,IF(17&lt;=36,'前提'!$B$69,IF(17&lt;=48,'前提'!$B$70,'前提'!$B$71))))))</f>
        <v>200000</v>
      </c>
      <c r="S28" s="17">
        <f>'前提'!$B$29*IF(18&lt;=6,'前提'!$B$65,IF(18&lt;=12,'前提'!$B$66,IF(18&lt;=18,'前提'!$B$67,IF(18&lt;=24,'前提'!$B$68,IF(18&lt;=36,'前提'!$B$69,IF(18&lt;=48,'前提'!$B$70,'前提'!$B$71))))))</f>
        <v>200000</v>
      </c>
      <c r="T28" s="17">
        <f>'前提'!$B$29*IF(19&lt;=6,'前提'!$B$65,IF(19&lt;=12,'前提'!$B$66,IF(19&lt;=18,'前提'!$B$67,IF(19&lt;=24,'前提'!$B$68,IF(19&lt;=36,'前提'!$B$69,IF(19&lt;=48,'前提'!$B$70,'前提'!$B$71))))))</f>
        <v>200000</v>
      </c>
      <c r="U28" s="17">
        <f>'前提'!$B$29*IF(20&lt;=6,'前提'!$B$65,IF(20&lt;=12,'前提'!$B$66,IF(20&lt;=18,'前提'!$B$67,IF(20&lt;=24,'前提'!$B$68,IF(20&lt;=36,'前提'!$B$69,IF(20&lt;=48,'前提'!$B$70,'前提'!$B$71))))))</f>
        <v>200000</v>
      </c>
      <c r="V28" s="17">
        <f>'前提'!$B$29*IF(21&lt;=6,'前提'!$B$65,IF(21&lt;=12,'前提'!$B$66,IF(21&lt;=18,'前提'!$B$67,IF(21&lt;=24,'前提'!$B$68,IF(21&lt;=36,'前提'!$B$69,IF(21&lt;=48,'前提'!$B$70,'前提'!$B$71))))))</f>
        <v>200000</v>
      </c>
      <c r="W28" s="17">
        <f>'前提'!$B$29*IF(22&lt;=6,'前提'!$B$65,IF(22&lt;=12,'前提'!$B$66,IF(22&lt;=18,'前提'!$B$67,IF(22&lt;=24,'前提'!$B$68,IF(22&lt;=36,'前提'!$B$69,IF(22&lt;=48,'前提'!$B$70,'前提'!$B$71))))))</f>
        <v>200000</v>
      </c>
      <c r="X28" s="17">
        <f>'前提'!$B$29*IF(23&lt;=6,'前提'!$B$65,IF(23&lt;=12,'前提'!$B$66,IF(23&lt;=18,'前提'!$B$67,IF(23&lt;=24,'前提'!$B$68,IF(23&lt;=36,'前提'!$B$69,IF(23&lt;=48,'前提'!$B$70,'前提'!$B$71))))))</f>
        <v>200000</v>
      </c>
      <c r="Y28" s="17">
        <f>'前提'!$B$29*IF(24&lt;=6,'前提'!$B$65,IF(24&lt;=12,'前提'!$B$66,IF(24&lt;=18,'前提'!$B$67,IF(24&lt;=24,'前提'!$B$68,IF(24&lt;=36,'前提'!$B$69,IF(24&lt;=48,'前提'!$B$70,'前提'!$B$71))))))</f>
        <v>200000</v>
      </c>
      <c r="Z28" s="17">
        <f>'前提'!$B$29*IF(25&lt;=6,'前提'!$B$65,IF(25&lt;=12,'前提'!$B$66,IF(25&lt;=18,'前提'!$B$67,IF(25&lt;=24,'前提'!$B$68,IF(25&lt;=36,'前提'!$B$69,IF(25&lt;=48,'前提'!$B$70,'前提'!$B$71))))))</f>
        <v>400000</v>
      </c>
      <c r="AA28" s="17">
        <f>'前提'!$B$29*IF(26&lt;=6,'前提'!$B$65,IF(26&lt;=12,'前提'!$B$66,IF(26&lt;=18,'前提'!$B$67,IF(26&lt;=24,'前提'!$B$68,IF(26&lt;=36,'前提'!$B$69,IF(26&lt;=48,'前提'!$B$70,'前提'!$B$71))))))</f>
        <v>400000</v>
      </c>
      <c r="AB28" s="17">
        <f>'前提'!$B$29*IF(27&lt;=6,'前提'!$B$65,IF(27&lt;=12,'前提'!$B$66,IF(27&lt;=18,'前提'!$B$67,IF(27&lt;=24,'前提'!$B$68,IF(27&lt;=36,'前提'!$B$69,IF(27&lt;=48,'前提'!$B$70,'前提'!$B$71))))))</f>
        <v>400000</v>
      </c>
      <c r="AC28" s="17">
        <f>'前提'!$B$29*IF(28&lt;=6,'前提'!$B$65,IF(28&lt;=12,'前提'!$B$66,IF(28&lt;=18,'前提'!$B$67,IF(28&lt;=24,'前提'!$B$68,IF(28&lt;=36,'前提'!$B$69,IF(28&lt;=48,'前提'!$B$70,'前提'!$B$71))))))</f>
        <v>400000</v>
      </c>
      <c r="AD28" s="17">
        <f>'前提'!$B$29*IF(29&lt;=6,'前提'!$B$65,IF(29&lt;=12,'前提'!$B$66,IF(29&lt;=18,'前提'!$B$67,IF(29&lt;=24,'前提'!$B$68,IF(29&lt;=36,'前提'!$B$69,IF(29&lt;=48,'前提'!$B$70,'前提'!$B$71))))))</f>
        <v>400000</v>
      </c>
      <c r="AE28" s="17">
        <f>'前提'!$B$29*IF(30&lt;=6,'前提'!$B$65,IF(30&lt;=12,'前提'!$B$66,IF(30&lt;=18,'前提'!$B$67,IF(30&lt;=24,'前提'!$B$68,IF(30&lt;=36,'前提'!$B$69,IF(30&lt;=48,'前提'!$B$70,'前提'!$B$71))))))</f>
        <v>400000</v>
      </c>
      <c r="AF28" s="17">
        <f>'前提'!$B$29*IF(31&lt;=6,'前提'!$B$65,IF(31&lt;=12,'前提'!$B$66,IF(31&lt;=18,'前提'!$B$67,IF(31&lt;=24,'前提'!$B$68,IF(31&lt;=36,'前提'!$B$69,IF(31&lt;=48,'前提'!$B$70,'前提'!$B$71))))))</f>
        <v>400000</v>
      </c>
      <c r="AG28" s="17">
        <f>'前提'!$B$29*IF(32&lt;=6,'前提'!$B$65,IF(32&lt;=12,'前提'!$B$66,IF(32&lt;=18,'前提'!$B$67,IF(32&lt;=24,'前提'!$B$68,IF(32&lt;=36,'前提'!$B$69,IF(32&lt;=48,'前提'!$B$70,'前提'!$B$71))))))</f>
        <v>400000</v>
      </c>
      <c r="AH28" s="17">
        <f>'前提'!$B$29*IF(33&lt;=6,'前提'!$B$65,IF(33&lt;=12,'前提'!$B$66,IF(33&lt;=18,'前提'!$B$67,IF(33&lt;=24,'前提'!$B$68,IF(33&lt;=36,'前提'!$B$69,IF(33&lt;=48,'前提'!$B$70,'前提'!$B$71))))))</f>
        <v>400000</v>
      </c>
      <c r="AI28" s="17">
        <f>'前提'!$B$29*IF(34&lt;=6,'前提'!$B$65,IF(34&lt;=12,'前提'!$B$66,IF(34&lt;=18,'前提'!$B$67,IF(34&lt;=24,'前提'!$B$68,IF(34&lt;=36,'前提'!$B$69,IF(34&lt;=48,'前提'!$B$70,'前提'!$B$71))))))</f>
        <v>400000</v>
      </c>
      <c r="AJ28" s="17">
        <f>'前提'!$B$29*IF(35&lt;=6,'前提'!$B$65,IF(35&lt;=12,'前提'!$B$66,IF(35&lt;=18,'前提'!$B$67,IF(35&lt;=24,'前提'!$B$68,IF(35&lt;=36,'前提'!$B$69,IF(35&lt;=48,'前提'!$B$70,'前提'!$B$71))))))</f>
        <v>400000</v>
      </c>
      <c r="AK28" s="17">
        <f>'前提'!$B$29*IF(36&lt;=6,'前提'!$B$65,IF(36&lt;=12,'前提'!$B$66,IF(36&lt;=18,'前提'!$B$67,IF(36&lt;=24,'前提'!$B$68,IF(36&lt;=36,'前提'!$B$69,IF(36&lt;=48,'前提'!$B$70,'前提'!$B$71))))))</f>
        <v>400000</v>
      </c>
      <c r="AL28" s="17">
        <f>'前提'!$B$29*IF(37&lt;=6,'前提'!$B$65,IF(37&lt;=12,'前提'!$B$66,IF(37&lt;=18,'前提'!$B$67,IF(37&lt;=24,'前提'!$B$68,IF(37&lt;=36,'前提'!$B$69,IF(37&lt;=48,'前提'!$B$70,'前提'!$B$71))))))</f>
        <v>400000</v>
      </c>
      <c r="AM28" s="17">
        <f>'前提'!$B$29*IF(38&lt;=6,'前提'!$B$65,IF(38&lt;=12,'前提'!$B$66,IF(38&lt;=18,'前提'!$B$67,IF(38&lt;=24,'前提'!$B$68,IF(38&lt;=36,'前提'!$B$69,IF(38&lt;=48,'前提'!$B$70,'前提'!$B$71))))))</f>
        <v>400000</v>
      </c>
      <c r="AN28" s="17">
        <f>'前提'!$B$29*IF(39&lt;=6,'前提'!$B$65,IF(39&lt;=12,'前提'!$B$66,IF(39&lt;=18,'前提'!$B$67,IF(39&lt;=24,'前提'!$B$68,IF(39&lt;=36,'前提'!$B$69,IF(39&lt;=48,'前提'!$B$70,'前提'!$B$71))))))</f>
        <v>400000</v>
      </c>
      <c r="AO28" s="17">
        <f>'前提'!$B$29*IF(40&lt;=6,'前提'!$B$65,IF(40&lt;=12,'前提'!$B$66,IF(40&lt;=18,'前提'!$B$67,IF(40&lt;=24,'前提'!$B$68,IF(40&lt;=36,'前提'!$B$69,IF(40&lt;=48,'前提'!$B$70,'前提'!$B$71))))))</f>
        <v>400000</v>
      </c>
      <c r="AP28" s="17">
        <f>'前提'!$B$29*IF(41&lt;=6,'前提'!$B$65,IF(41&lt;=12,'前提'!$B$66,IF(41&lt;=18,'前提'!$B$67,IF(41&lt;=24,'前提'!$B$68,IF(41&lt;=36,'前提'!$B$69,IF(41&lt;=48,'前提'!$B$70,'前提'!$B$71))))))</f>
        <v>400000</v>
      </c>
      <c r="AQ28" s="17">
        <f>'前提'!$B$29*IF(42&lt;=6,'前提'!$B$65,IF(42&lt;=12,'前提'!$B$66,IF(42&lt;=18,'前提'!$B$67,IF(42&lt;=24,'前提'!$B$68,IF(42&lt;=36,'前提'!$B$69,IF(42&lt;=48,'前提'!$B$70,'前提'!$B$71))))))</f>
        <v>400000</v>
      </c>
      <c r="AR28" s="17">
        <f>'前提'!$B$29*IF(43&lt;=6,'前提'!$B$65,IF(43&lt;=12,'前提'!$B$66,IF(43&lt;=18,'前提'!$B$67,IF(43&lt;=24,'前提'!$B$68,IF(43&lt;=36,'前提'!$B$69,IF(43&lt;=48,'前提'!$B$70,'前提'!$B$71))))))</f>
        <v>400000</v>
      </c>
      <c r="AS28" s="17">
        <f>'前提'!$B$29*IF(44&lt;=6,'前提'!$B$65,IF(44&lt;=12,'前提'!$B$66,IF(44&lt;=18,'前提'!$B$67,IF(44&lt;=24,'前提'!$B$68,IF(44&lt;=36,'前提'!$B$69,IF(44&lt;=48,'前提'!$B$70,'前提'!$B$71))))))</f>
        <v>400000</v>
      </c>
      <c r="AT28" s="17">
        <f>'前提'!$B$29*IF(45&lt;=6,'前提'!$B$65,IF(45&lt;=12,'前提'!$B$66,IF(45&lt;=18,'前提'!$B$67,IF(45&lt;=24,'前提'!$B$68,IF(45&lt;=36,'前提'!$B$69,IF(45&lt;=48,'前提'!$B$70,'前提'!$B$71))))))</f>
        <v>400000</v>
      </c>
      <c r="AU28" s="17">
        <f>'前提'!$B$29*IF(46&lt;=6,'前提'!$B$65,IF(46&lt;=12,'前提'!$B$66,IF(46&lt;=18,'前提'!$B$67,IF(46&lt;=24,'前提'!$B$68,IF(46&lt;=36,'前提'!$B$69,IF(46&lt;=48,'前提'!$B$70,'前提'!$B$71))))))</f>
        <v>400000</v>
      </c>
      <c r="AV28" s="17">
        <f>'前提'!$B$29*IF(47&lt;=6,'前提'!$B$65,IF(47&lt;=12,'前提'!$B$66,IF(47&lt;=18,'前提'!$B$67,IF(47&lt;=24,'前提'!$B$68,IF(47&lt;=36,'前提'!$B$69,IF(47&lt;=48,'前提'!$B$70,'前提'!$B$71))))))</f>
        <v>400000</v>
      </c>
      <c r="AW28" s="17">
        <f>'前提'!$B$29*IF(48&lt;=6,'前提'!$B$65,IF(48&lt;=12,'前提'!$B$66,IF(48&lt;=18,'前提'!$B$67,IF(48&lt;=24,'前提'!$B$68,IF(48&lt;=36,'前提'!$B$69,IF(48&lt;=48,'前提'!$B$70,'前提'!$B$71))))))</f>
        <v>400000</v>
      </c>
      <c r="AX28" s="17">
        <f>'前提'!$B$29*IF(49&lt;=6,'前提'!$B$65,IF(49&lt;=12,'前提'!$B$66,IF(49&lt;=18,'前提'!$B$67,IF(49&lt;=24,'前提'!$B$68,IF(49&lt;=36,'前提'!$B$69,IF(49&lt;=48,'前提'!$B$70,'前提'!$B$71))))))</f>
        <v>600000</v>
      </c>
      <c r="AY28" s="17">
        <f>'前提'!$B$29*IF(50&lt;=6,'前提'!$B$65,IF(50&lt;=12,'前提'!$B$66,IF(50&lt;=18,'前提'!$B$67,IF(50&lt;=24,'前提'!$B$68,IF(50&lt;=36,'前提'!$B$69,IF(50&lt;=48,'前提'!$B$70,'前提'!$B$71))))))</f>
        <v>600000</v>
      </c>
      <c r="AZ28" s="17">
        <f>'前提'!$B$29*IF(51&lt;=6,'前提'!$B$65,IF(51&lt;=12,'前提'!$B$66,IF(51&lt;=18,'前提'!$B$67,IF(51&lt;=24,'前提'!$B$68,IF(51&lt;=36,'前提'!$B$69,IF(51&lt;=48,'前提'!$B$70,'前提'!$B$71))))))</f>
        <v>600000</v>
      </c>
      <c r="BA28" s="17">
        <f>'前提'!$B$29*IF(52&lt;=6,'前提'!$B$65,IF(52&lt;=12,'前提'!$B$66,IF(52&lt;=18,'前提'!$B$67,IF(52&lt;=24,'前提'!$B$68,IF(52&lt;=36,'前提'!$B$69,IF(52&lt;=48,'前提'!$B$70,'前提'!$B$71))))))</f>
        <v>600000</v>
      </c>
      <c r="BB28" s="17">
        <f>'前提'!$B$29*IF(53&lt;=6,'前提'!$B$65,IF(53&lt;=12,'前提'!$B$66,IF(53&lt;=18,'前提'!$B$67,IF(53&lt;=24,'前提'!$B$68,IF(53&lt;=36,'前提'!$B$69,IF(53&lt;=48,'前提'!$B$70,'前提'!$B$71))))))</f>
        <v>600000</v>
      </c>
      <c r="BC28" s="17">
        <f>'前提'!$B$29*IF(54&lt;=6,'前提'!$B$65,IF(54&lt;=12,'前提'!$B$66,IF(54&lt;=18,'前提'!$B$67,IF(54&lt;=24,'前提'!$B$68,IF(54&lt;=36,'前提'!$B$69,IF(54&lt;=48,'前提'!$B$70,'前提'!$B$71))))))</f>
        <v>600000</v>
      </c>
      <c r="BD28" s="17">
        <f>'前提'!$B$29*IF(55&lt;=6,'前提'!$B$65,IF(55&lt;=12,'前提'!$B$66,IF(55&lt;=18,'前提'!$B$67,IF(55&lt;=24,'前提'!$B$68,IF(55&lt;=36,'前提'!$B$69,IF(55&lt;=48,'前提'!$B$70,'前提'!$B$71))))))</f>
        <v>600000</v>
      </c>
      <c r="BE28" s="17">
        <f>'前提'!$B$29*IF(56&lt;=6,'前提'!$B$65,IF(56&lt;=12,'前提'!$B$66,IF(56&lt;=18,'前提'!$B$67,IF(56&lt;=24,'前提'!$B$68,IF(56&lt;=36,'前提'!$B$69,IF(56&lt;=48,'前提'!$B$70,'前提'!$B$71))))))</f>
        <v>600000</v>
      </c>
      <c r="BF28" s="17">
        <f>'前提'!$B$29*IF(57&lt;=6,'前提'!$B$65,IF(57&lt;=12,'前提'!$B$66,IF(57&lt;=18,'前提'!$B$67,IF(57&lt;=24,'前提'!$B$68,IF(57&lt;=36,'前提'!$B$69,IF(57&lt;=48,'前提'!$B$70,'前提'!$B$71))))))</f>
        <v>600000</v>
      </c>
      <c r="BG28" s="17">
        <f>'前提'!$B$29*IF(58&lt;=6,'前提'!$B$65,IF(58&lt;=12,'前提'!$B$66,IF(58&lt;=18,'前提'!$B$67,IF(58&lt;=24,'前提'!$B$68,IF(58&lt;=36,'前提'!$B$69,IF(58&lt;=48,'前提'!$B$70,'前提'!$B$71))))))</f>
        <v>600000</v>
      </c>
      <c r="BH28" s="17">
        <f>'前提'!$B$29*IF(59&lt;=6,'前提'!$B$65,IF(59&lt;=12,'前提'!$B$66,IF(59&lt;=18,'前提'!$B$67,IF(59&lt;=24,'前提'!$B$68,IF(59&lt;=36,'前提'!$B$69,IF(59&lt;=48,'前提'!$B$70,'前提'!$B$71))))))</f>
        <v>600000</v>
      </c>
      <c r="BI28" s="17">
        <f>'前提'!$B$29*IF(60&lt;=6,'前提'!$B$65,IF(60&lt;=12,'前提'!$B$66,IF(60&lt;=18,'前提'!$B$67,IF(60&lt;=24,'前提'!$B$68,IF(60&lt;=36,'前提'!$B$69,IF(60&lt;=48,'前提'!$B$70,'前提'!$B$71))))))</f>
        <v>600000</v>
      </c>
    </row>
    <row r="29" ht="15.75" customHeight="1">
      <c r="A29" s="3" t="s">
        <v>191</v>
      </c>
      <c r="B29" s="17">
        <f>'前提'!$B$27*IF(1&lt;=6,'前提'!$B$56,IF(1&lt;=12,'前提'!$B$57,IF(1&lt;=18,'前提'!$B$58,IF(1&lt;=24,'前提'!$B$59,IF(1&lt;=36,'前提'!$B$60,IF(1&lt;=48,'前提'!$B$61,'前提'!$B$62))))))</f>
        <v>0</v>
      </c>
      <c r="C29" s="17">
        <f>'前提'!$B$27*IF(2&lt;=6,'前提'!$B$56,IF(2&lt;=12,'前提'!$B$57,IF(2&lt;=18,'前提'!$B$58,IF(2&lt;=24,'前提'!$B$59,IF(2&lt;=36,'前提'!$B$60,IF(2&lt;=48,'前提'!$B$61,'前提'!$B$62))))))</f>
        <v>0</v>
      </c>
      <c r="D29" s="17">
        <f>'前提'!$B$27*IF(3&lt;=6,'前提'!$B$56,IF(3&lt;=12,'前提'!$B$57,IF(3&lt;=18,'前提'!$B$58,IF(3&lt;=24,'前提'!$B$59,IF(3&lt;=36,'前提'!$B$60,IF(3&lt;=48,'前提'!$B$61,'前提'!$B$62))))))</f>
        <v>0</v>
      </c>
      <c r="E29" s="17">
        <f>'前提'!$B$27*IF(4&lt;=6,'前提'!$B$56,IF(4&lt;=12,'前提'!$B$57,IF(4&lt;=18,'前提'!$B$58,IF(4&lt;=24,'前提'!$B$59,IF(4&lt;=36,'前提'!$B$60,IF(4&lt;=48,'前提'!$B$61,'前提'!$B$62))))))</f>
        <v>0</v>
      </c>
      <c r="F29" s="17">
        <f>'前提'!$B$27*IF(5&lt;=6,'前提'!$B$56,IF(5&lt;=12,'前提'!$B$57,IF(5&lt;=18,'前提'!$B$58,IF(5&lt;=24,'前提'!$B$59,IF(5&lt;=36,'前提'!$B$60,IF(5&lt;=48,'前提'!$B$61,'前提'!$B$62))))))</f>
        <v>0</v>
      </c>
      <c r="G29" s="17">
        <f>'前提'!$B$27*IF(6&lt;=6,'前提'!$B$56,IF(6&lt;=12,'前提'!$B$57,IF(6&lt;=18,'前提'!$B$58,IF(6&lt;=24,'前提'!$B$59,IF(6&lt;=36,'前提'!$B$60,IF(6&lt;=48,'前提'!$B$61,'前提'!$B$62))))))</f>
        <v>0</v>
      </c>
      <c r="H29" s="17">
        <f>'前提'!$B$27*IF(7&lt;=6,'前提'!$B$56,IF(7&lt;=12,'前提'!$B$57,IF(7&lt;=18,'前提'!$B$58,IF(7&lt;=24,'前提'!$B$59,IF(7&lt;=36,'前提'!$B$60,IF(7&lt;=48,'前提'!$B$61,'前提'!$B$62))))))</f>
        <v>400000</v>
      </c>
      <c r="I29" s="17">
        <f>'前提'!$B$27*IF(8&lt;=6,'前提'!$B$56,IF(8&lt;=12,'前提'!$B$57,IF(8&lt;=18,'前提'!$B$58,IF(8&lt;=24,'前提'!$B$59,IF(8&lt;=36,'前提'!$B$60,IF(8&lt;=48,'前提'!$B$61,'前提'!$B$62))))))</f>
        <v>400000</v>
      </c>
      <c r="J29" s="17">
        <f>'前提'!$B$27*IF(9&lt;=6,'前提'!$B$56,IF(9&lt;=12,'前提'!$B$57,IF(9&lt;=18,'前提'!$B$58,IF(9&lt;=24,'前提'!$B$59,IF(9&lt;=36,'前提'!$B$60,IF(9&lt;=48,'前提'!$B$61,'前提'!$B$62))))))</f>
        <v>400000</v>
      </c>
      <c r="K29" s="17">
        <f>'前提'!$B$27*IF(10&lt;=6,'前提'!$B$56,IF(10&lt;=12,'前提'!$B$57,IF(10&lt;=18,'前提'!$B$58,IF(10&lt;=24,'前提'!$B$59,IF(10&lt;=36,'前提'!$B$60,IF(10&lt;=48,'前提'!$B$61,'前提'!$B$62))))))</f>
        <v>400000</v>
      </c>
      <c r="L29" s="17">
        <f>'前提'!$B$27*IF(11&lt;=6,'前提'!$B$56,IF(11&lt;=12,'前提'!$B$57,IF(11&lt;=18,'前提'!$B$58,IF(11&lt;=24,'前提'!$B$59,IF(11&lt;=36,'前提'!$B$60,IF(11&lt;=48,'前提'!$B$61,'前提'!$B$62))))))</f>
        <v>400000</v>
      </c>
      <c r="M29" s="17">
        <f>'前提'!$B$27*IF(12&lt;=6,'前提'!$B$56,IF(12&lt;=12,'前提'!$B$57,IF(12&lt;=18,'前提'!$B$58,IF(12&lt;=24,'前提'!$B$59,IF(12&lt;=36,'前提'!$B$60,IF(12&lt;=48,'前提'!$B$61,'前提'!$B$62))))))</f>
        <v>400000</v>
      </c>
      <c r="N29" s="17">
        <f>'前提'!$B$27*IF(13&lt;=6,'前提'!$B$56,IF(13&lt;=12,'前提'!$B$57,IF(13&lt;=18,'前提'!$B$58,IF(13&lt;=24,'前提'!$B$59,IF(13&lt;=36,'前提'!$B$60,IF(13&lt;=48,'前提'!$B$61,'前提'!$B$62))))))</f>
        <v>800000</v>
      </c>
      <c r="O29" s="17">
        <f>'前提'!$B$27*IF(14&lt;=6,'前提'!$B$56,IF(14&lt;=12,'前提'!$B$57,IF(14&lt;=18,'前提'!$B$58,IF(14&lt;=24,'前提'!$B$59,IF(14&lt;=36,'前提'!$B$60,IF(14&lt;=48,'前提'!$B$61,'前提'!$B$62))))))</f>
        <v>800000</v>
      </c>
      <c r="P29" s="17">
        <f>'前提'!$B$27*IF(15&lt;=6,'前提'!$B$56,IF(15&lt;=12,'前提'!$B$57,IF(15&lt;=18,'前提'!$B$58,IF(15&lt;=24,'前提'!$B$59,IF(15&lt;=36,'前提'!$B$60,IF(15&lt;=48,'前提'!$B$61,'前提'!$B$62))))))</f>
        <v>800000</v>
      </c>
      <c r="Q29" s="17">
        <f>'前提'!$B$27*IF(16&lt;=6,'前提'!$B$56,IF(16&lt;=12,'前提'!$B$57,IF(16&lt;=18,'前提'!$B$58,IF(16&lt;=24,'前提'!$B$59,IF(16&lt;=36,'前提'!$B$60,IF(16&lt;=48,'前提'!$B$61,'前提'!$B$62))))))</f>
        <v>800000</v>
      </c>
      <c r="R29" s="17">
        <f>'前提'!$B$27*IF(17&lt;=6,'前提'!$B$56,IF(17&lt;=12,'前提'!$B$57,IF(17&lt;=18,'前提'!$B$58,IF(17&lt;=24,'前提'!$B$59,IF(17&lt;=36,'前提'!$B$60,IF(17&lt;=48,'前提'!$B$61,'前提'!$B$62))))))</f>
        <v>800000</v>
      </c>
      <c r="S29" s="17">
        <f>'前提'!$B$27*IF(18&lt;=6,'前提'!$B$56,IF(18&lt;=12,'前提'!$B$57,IF(18&lt;=18,'前提'!$B$58,IF(18&lt;=24,'前提'!$B$59,IF(18&lt;=36,'前提'!$B$60,IF(18&lt;=48,'前提'!$B$61,'前提'!$B$62))))))</f>
        <v>800000</v>
      </c>
      <c r="T29" s="17">
        <f>'前提'!$B$27*IF(19&lt;=6,'前提'!$B$56,IF(19&lt;=12,'前提'!$B$57,IF(19&lt;=18,'前提'!$B$58,IF(19&lt;=24,'前提'!$B$59,IF(19&lt;=36,'前提'!$B$60,IF(19&lt;=48,'前提'!$B$61,'前提'!$B$62))))))</f>
        <v>1200000</v>
      </c>
      <c r="U29" s="17">
        <f>'前提'!$B$27*IF(20&lt;=6,'前提'!$B$56,IF(20&lt;=12,'前提'!$B$57,IF(20&lt;=18,'前提'!$B$58,IF(20&lt;=24,'前提'!$B$59,IF(20&lt;=36,'前提'!$B$60,IF(20&lt;=48,'前提'!$B$61,'前提'!$B$62))))))</f>
        <v>1200000</v>
      </c>
      <c r="V29" s="17">
        <f>'前提'!$B$27*IF(21&lt;=6,'前提'!$B$56,IF(21&lt;=12,'前提'!$B$57,IF(21&lt;=18,'前提'!$B$58,IF(21&lt;=24,'前提'!$B$59,IF(21&lt;=36,'前提'!$B$60,IF(21&lt;=48,'前提'!$B$61,'前提'!$B$62))))))</f>
        <v>1200000</v>
      </c>
      <c r="W29" s="17">
        <f>'前提'!$B$27*IF(22&lt;=6,'前提'!$B$56,IF(22&lt;=12,'前提'!$B$57,IF(22&lt;=18,'前提'!$B$58,IF(22&lt;=24,'前提'!$B$59,IF(22&lt;=36,'前提'!$B$60,IF(22&lt;=48,'前提'!$B$61,'前提'!$B$62))))))</f>
        <v>1200000</v>
      </c>
      <c r="X29" s="17">
        <f>'前提'!$B$27*IF(23&lt;=6,'前提'!$B$56,IF(23&lt;=12,'前提'!$B$57,IF(23&lt;=18,'前提'!$B$58,IF(23&lt;=24,'前提'!$B$59,IF(23&lt;=36,'前提'!$B$60,IF(23&lt;=48,'前提'!$B$61,'前提'!$B$62))))))</f>
        <v>1200000</v>
      </c>
      <c r="Y29" s="17">
        <f>'前提'!$B$27*IF(24&lt;=6,'前提'!$B$56,IF(24&lt;=12,'前提'!$B$57,IF(24&lt;=18,'前提'!$B$58,IF(24&lt;=24,'前提'!$B$59,IF(24&lt;=36,'前提'!$B$60,IF(24&lt;=48,'前提'!$B$61,'前提'!$B$62))))))</f>
        <v>1200000</v>
      </c>
      <c r="Z29" s="17">
        <f>'前提'!$B$27*IF(25&lt;=6,'前提'!$B$56,IF(25&lt;=12,'前提'!$B$57,IF(25&lt;=18,'前提'!$B$58,IF(25&lt;=24,'前提'!$B$59,IF(25&lt;=36,'前提'!$B$60,IF(25&lt;=48,'前提'!$B$61,'前提'!$B$62))))))</f>
        <v>1600000</v>
      </c>
      <c r="AA29" s="17">
        <f>'前提'!$B$27*IF(26&lt;=6,'前提'!$B$56,IF(26&lt;=12,'前提'!$B$57,IF(26&lt;=18,'前提'!$B$58,IF(26&lt;=24,'前提'!$B$59,IF(26&lt;=36,'前提'!$B$60,IF(26&lt;=48,'前提'!$B$61,'前提'!$B$62))))))</f>
        <v>1600000</v>
      </c>
      <c r="AB29" s="17">
        <f>'前提'!$B$27*IF(27&lt;=6,'前提'!$B$56,IF(27&lt;=12,'前提'!$B$57,IF(27&lt;=18,'前提'!$B$58,IF(27&lt;=24,'前提'!$B$59,IF(27&lt;=36,'前提'!$B$60,IF(27&lt;=48,'前提'!$B$61,'前提'!$B$62))))))</f>
        <v>1600000</v>
      </c>
      <c r="AC29" s="17">
        <f>'前提'!$B$27*IF(28&lt;=6,'前提'!$B$56,IF(28&lt;=12,'前提'!$B$57,IF(28&lt;=18,'前提'!$B$58,IF(28&lt;=24,'前提'!$B$59,IF(28&lt;=36,'前提'!$B$60,IF(28&lt;=48,'前提'!$B$61,'前提'!$B$62))))))</f>
        <v>1600000</v>
      </c>
      <c r="AD29" s="17">
        <f>'前提'!$B$27*IF(29&lt;=6,'前提'!$B$56,IF(29&lt;=12,'前提'!$B$57,IF(29&lt;=18,'前提'!$B$58,IF(29&lt;=24,'前提'!$B$59,IF(29&lt;=36,'前提'!$B$60,IF(29&lt;=48,'前提'!$B$61,'前提'!$B$62))))))</f>
        <v>1600000</v>
      </c>
      <c r="AE29" s="17">
        <f>'前提'!$B$27*IF(30&lt;=6,'前提'!$B$56,IF(30&lt;=12,'前提'!$B$57,IF(30&lt;=18,'前提'!$B$58,IF(30&lt;=24,'前提'!$B$59,IF(30&lt;=36,'前提'!$B$60,IF(30&lt;=48,'前提'!$B$61,'前提'!$B$62))))))</f>
        <v>1600000</v>
      </c>
      <c r="AF29" s="17">
        <f>'前提'!$B$27*IF(31&lt;=6,'前提'!$B$56,IF(31&lt;=12,'前提'!$B$57,IF(31&lt;=18,'前提'!$B$58,IF(31&lt;=24,'前提'!$B$59,IF(31&lt;=36,'前提'!$B$60,IF(31&lt;=48,'前提'!$B$61,'前提'!$B$62))))))</f>
        <v>1600000</v>
      </c>
      <c r="AG29" s="17">
        <f>'前提'!$B$27*IF(32&lt;=6,'前提'!$B$56,IF(32&lt;=12,'前提'!$B$57,IF(32&lt;=18,'前提'!$B$58,IF(32&lt;=24,'前提'!$B$59,IF(32&lt;=36,'前提'!$B$60,IF(32&lt;=48,'前提'!$B$61,'前提'!$B$62))))))</f>
        <v>1600000</v>
      </c>
      <c r="AH29" s="17">
        <f>'前提'!$B$27*IF(33&lt;=6,'前提'!$B$56,IF(33&lt;=12,'前提'!$B$57,IF(33&lt;=18,'前提'!$B$58,IF(33&lt;=24,'前提'!$B$59,IF(33&lt;=36,'前提'!$B$60,IF(33&lt;=48,'前提'!$B$61,'前提'!$B$62))))))</f>
        <v>1600000</v>
      </c>
      <c r="AI29" s="17">
        <f>'前提'!$B$27*IF(34&lt;=6,'前提'!$B$56,IF(34&lt;=12,'前提'!$B$57,IF(34&lt;=18,'前提'!$B$58,IF(34&lt;=24,'前提'!$B$59,IF(34&lt;=36,'前提'!$B$60,IF(34&lt;=48,'前提'!$B$61,'前提'!$B$62))))))</f>
        <v>1600000</v>
      </c>
      <c r="AJ29" s="17">
        <f>'前提'!$B$27*IF(35&lt;=6,'前提'!$B$56,IF(35&lt;=12,'前提'!$B$57,IF(35&lt;=18,'前提'!$B$58,IF(35&lt;=24,'前提'!$B$59,IF(35&lt;=36,'前提'!$B$60,IF(35&lt;=48,'前提'!$B$61,'前提'!$B$62))))))</f>
        <v>1600000</v>
      </c>
      <c r="AK29" s="17">
        <f>'前提'!$B$27*IF(36&lt;=6,'前提'!$B$56,IF(36&lt;=12,'前提'!$B$57,IF(36&lt;=18,'前提'!$B$58,IF(36&lt;=24,'前提'!$B$59,IF(36&lt;=36,'前提'!$B$60,IF(36&lt;=48,'前提'!$B$61,'前提'!$B$62))))))</f>
        <v>1600000</v>
      </c>
      <c r="AL29" s="17">
        <f>'前提'!$B$27*IF(37&lt;=6,'前提'!$B$56,IF(37&lt;=12,'前提'!$B$57,IF(37&lt;=18,'前提'!$B$58,IF(37&lt;=24,'前提'!$B$59,IF(37&lt;=36,'前提'!$B$60,IF(37&lt;=48,'前提'!$B$61,'前提'!$B$62))))))</f>
        <v>2000000</v>
      </c>
      <c r="AM29" s="17">
        <f>'前提'!$B$27*IF(38&lt;=6,'前提'!$B$56,IF(38&lt;=12,'前提'!$B$57,IF(38&lt;=18,'前提'!$B$58,IF(38&lt;=24,'前提'!$B$59,IF(38&lt;=36,'前提'!$B$60,IF(38&lt;=48,'前提'!$B$61,'前提'!$B$62))))))</f>
        <v>2000000</v>
      </c>
      <c r="AN29" s="17">
        <f>'前提'!$B$27*IF(39&lt;=6,'前提'!$B$56,IF(39&lt;=12,'前提'!$B$57,IF(39&lt;=18,'前提'!$B$58,IF(39&lt;=24,'前提'!$B$59,IF(39&lt;=36,'前提'!$B$60,IF(39&lt;=48,'前提'!$B$61,'前提'!$B$62))))))</f>
        <v>2000000</v>
      </c>
      <c r="AO29" s="17">
        <f>'前提'!$B$27*IF(40&lt;=6,'前提'!$B$56,IF(40&lt;=12,'前提'!$B$57,IF(40&lt;=18,'前提'!$B$58,IF(40&lt;=24,'前提'!$B$59,IF(40&lt;=36,'前提'!$B$60,IF(40&lt;=48,'前提'!$B$61,'前提'!$B$62))))))</f>
        <v>2000000</v>
      </c>
      <c r="AP29" s="17">
        <f>'前提'!$B$27*IF(41&lt;=6,'前提'!$B$56,IF(41&lt;=12,'前提'!$B$57,IF(41&lt;=18,'前提'!$B$58,IF(41&lt;=24,'前提'!$B$59,IF(41&lt;=36,'前提'!$B$60,IF(41&lt;=48,'前提'!$B$61,'前提'!$B$62))))))</f>
        <v>2000000</v>
      </c>
      <c r="AQ29" s="17">
        <f>'前提'!$B$27*IF(42&lt;=6,'前提'!$B$56,IF(42&lt;=12,'前提'!$B$57,IF(42&lt;=18,'前提'!$B$58,IF(42&lt;=24,'前提'!$B$59,IF(42&lt;=36,'前提'!$B$60,IF(42&lt;=48,'前提'!$B$61,'前提'!$B$62))))))</f>
        <v>2000000</v>
      </c>
      <c r="AR29" s="17">
        <f>'前提'!$B$27*IF(43&lt;=6,'前提'!$B$56,IF(43&lt;=12,'前提'!$B$57,IF(43&lt;=18,'前提'!$B$58,IF(43&lt;=24,'前提'!$B$59,IF(43&lt;=36,'前提'!$B$60,IF(43&lt;=48,'前提'!$B$61,'前提'!$B$62))))))</f>
        <v>2000000</v>
      </c>
      <c r="AS29" s="17">
        <f>'前提'!$B$27*IF(44&lt;=6,'前提'!$B$56,IF(44&lt;=12,'前提'!$B$57,IF(44&lt;=18,'前提'!$B$58,IF(44&lt;=24,'前提'!$B$59,IF(44&lt;=36,'前提'!$B$60,IF(44&lt;=48,'前提'!$B$61,'前提'!$B$62))))))</f>
        <v>2000000</v>
      </c>
      <c r="AT29" s="17">
        <f>'前提'!$B$27*IF(45&lt;=6,'前提'!$B$56,IF(45&lt;=12,'前提'!$B$57,IF(45&lt;=18,'前提'!$B$58,IF(45&lt;=24,'前提'!$B$59,IF(45&lt;=36,'前提'!$B$60,IF(45&lt;=48,'前提'!$B$61,'前提'!$B$62))))))</f>
        <v>2000000</v>
      </c>
      <c r="AU29" s="17">
        <f>'前提'!$B$27*IF(46&lt;=6,'前提'!$B$56,IF(46&lt;=12,'前提'!$B$57,IF(46&lt;=18,'前提'!$B$58,IF(46&lt;=24,'前提'!$B$59,IF(46&lt;=36,'前提'!$B$60,IF(46&lt;=48,'前提'!$B$61,'前提'!$B$62))))))</f>
        <v>2000000</v>
      </c>
      <c r="AV29" s="17">
        <f>'前提'!$B$27*IF(47&lt;=6,'前提'!$B$56,IF(47&lt;=12,'前提'!$B$57,IF(47&lt;=18,'前提'!$B$58,IF(47&lt;=24,'前提'!$B$59,IF(47&lt;=36,'前提'!$B$60,IF(47&lt;=48,'前提'!$B$61,'前提'!$B$62))))))</f>
        <v>2000000</v>
      </c>
      <c r="AW29" s="17">
        <f>'前提'!$B$27*IF(48&lt;=6,'前提'!$B$56,IF(48&lt;=12,'前提'!$B$57,IF(48&lt;=18,'前提'!$B$58,IF(48&lt;=24,'前提'!$B$59,IF(48&lt;=36,'前提'!$B$60,IF(48&lt;=48,'前提'!$B$61,'前提'!$B$62))))))</f>
        <v>2000000</v>
      </c>
      <c r="AX29" s="17">
        <f>'前提'!$B$27*IF(49&lt;=6,'前提'!$B$56,IF(49&lt;=12,'前提'!$B$57,IF(49&lt;=18,'前提'!$B$58,IF(49&lt;=24,'前提'!$B$59,IF(49&lt;=36,'前提'!$B$60,IF(49&lt;=48,'前提'!$B$61,'前提'!$B$62))))))</f>
        <v>2400000</v>
      </c>
      <c r="AY29" s="17">
        <f>'前提'!$B$27*IF(50&lt;=6,'前提'!$B$56,IF(50&lt;=12,'前提'!$B$57,IF(50&lt;=18,'前提'!$B$58,IF(50&lt;=24,'前提'!$B$59,IF(50&lt;=36,'前提'!$B$60,IF(50&lt;=48,'前提'!$B$61,'前提'!$B$62))))))</f>
        <v>2400000</v>
      </c>
      <c r="AZ29" s="17">
        <f>'前提'!$B$27*IF(51&lt;=6,'前提'!$B$56,IF(51&lt;=12,'前提'!$B$57,IF(51&lt;=18,'前提'!$B$58,IF(51&lt;=24,'前提'!$B$59,IF(51&lt;=36,'前提'!$B$60,IF(51&lt;=48,'前提'!$B$61,'前提'!$B$62))))))</f>
        <v>2400000</v>
      </c>
      <c r="BA29" s="17">
        <f>'前提'!$B$27*IF(52&lt;=6,'前提'!$B$56,IF(52&lt;=12,'前提'!$B$57,IF(52&lt;=18,'前提'!$B$58,IF(52&lt;=24,'前提'!$B$59,IF(52&lt;=36,'前提'!$B$60,IF(52&lt;=48,'前提'!$B$61,'前提'!$B$62))))))</f>
        <v>2400000</v>
      </c>
      <c r="BB29" s="17">
        <f>'前提'!$B$27*IF(53&lt;=6,'前提'!$B$56,IF(53&lt;=12,'前提'!$B$57,IF(53&lt;=18,'前提'!$B$58,IF(53&lt;=24,'前提'!$B$59,IF(53&lt;=36,'前提'!$B$60,IF(53&lt;=48,'前提'!$B$61,'前提'!$B$62))))))</f>
        <v>2400000</v>
      </c>
      <c r="BC29" s="17">
        <f>'前提'!$B$27*IF(54&lt;=6,'前提'!$B$56,IF(54&lt;=12,'前提'!$B$57,IF(54&lt;=18,'前提'!$B$58,IF(54&lt;=24,'前提'!$B$59,IF(54&lt;=36,'前提'!$B$60,IF(54&lt;=48,'前提'!$B$61,'前提'!$B$62))))))</f>
        <v>2400000</v>
      </c>
      <c r="BD29" s="17">
        <f>'前提'!$B$27*IF(55&lt;=6,'前提'!$B$56,IF(55&lt;=12,'前提'!$B$57,IF(55&lt;=18,'前提'!$B$58,IF(55&lt;=24,'前提'!$B$59,IF(55&lt;=36,'前提'!$B$60,IF(55&lt;=48,'前提'!$B$61,'前提'!$B$62))))))</f>
        <v>2400000</v>
      </c>
      <c r="BE29" s="17">
        <f>'前提'!$B$27*IF(56&lt;=6,'前提'!$B$56,IF(56&lt;=12,'前提'!$B$57,IF(56&lt;=18,'前提'!$B$58,IF(56&lt;=24,'前提'!$B$59,IF(56&lt;=36,'前提'!$B$60,IF(56&lt;=48,'前提'!$B$61,'前提'!$B$62))))))</f>
        <v>2400000</v>
      </c>
      <c r="BF29" s="17">
        <f>'前提'!$B$27*IF(57&lt;=6,'前提'!$B$56,IF(57&lt;=12,'前提'!$B$57,IF(57&lt;=18,'前提'!$B$58,IF(57&lt;=24,'前提'!$B$59,IF(57&lt;=36,'前提'!$B$60,IF(57&lt;=48,'前提'!$B$61,'前提'!$B$62))))))</f>
        <v>2400000</v>
      </c>
      <c r="BG29" s="17">
        <f>'前提'!$B$27*IF(58&lt;=6,'前提'!$B$56,IF(58&lt;=12,'前提'!$B$57,IF(58&lt;=18,'前提'!$B$58,IF(58&lt;=24,'前提'!$B$59,IF(58&lt;=36,'前提'!$B$60,IF(58&lt;=48,'前提'!$B$61,'前提'!$B$62))))))</f>
        <v>2400000</v>
      </c>
      <c r="BH29" s="17">
        <f>'前提'!$B$27*IF(59&lt;=6,'前提'!$B$56,IF(59&lt;=12,'前提'!$B$57,IF(59&lt;=18,'前提'!$B$58,IF(59&lt;=24,'前提'!$B$59,IF(59&lt;=36,'前提'!$B$60,IF(59&lt;=48,'前提'!$B$61,'前提'!$B$62))))))</f>
        <v>2400000</v>
      </c>
      <c r="BI29" s="17">
        <f>'前提'!$B$27*IF(60&lt;=6,'前提'!$B$56,IF(60&lt;=12,'前提'!$B$57,IF(60&lt;=18,'前提'!$B$58,IF(60&lt;=24,'前提'!$B$59,IF(60&lt;=36,'前提'!$B$60,IF(60&lt;=48,'前提'!$B$61,'前提'!$B$62))))))</f>
        <v>2400000</v>
      </c>
    </row>
    <row r="30" ht="15.75" customHeight="1">
      <c r="A30" s="3" t="s">
        <v>192</v>
      </c>
      <c r="B30" s="17">
        <f>'前提'!$B$28*IF(1&lt;=6,'前提'!$C$56,IF(1&lt;=12,'前提'!$C$57,IF(1&lt;=18,'前提'!$C$58,IF(1&lt;=24,'前提'!$C$59,IF(1&lt;=36,'前提'!$C$60,IF(1&lt;=48,'前提'!$C$61,'前提'!$C$62))))))</f>
        <v>0</v>
      </c>
      <c r="C30" s="17">
        <f>'前提'!$B$28*IF(2&lt;=6,'前提'!$C$56,IF(2&lt;=12,'前提'!$C$57,IF(2&lt;=18,'前提'!$C$58,IF(2&lt;=24,'前提'!$C$59,IF(2&lt;=36,'前提'!$C$60,IF(2&lt;=48,'前提'!$C$61,'前提'!$C$62))))))</f>
        <v>0</v>
      </c>
      <c r="D30" s="17">
        <f>'前提'!$B$28*IF(3&lt;=6,'前提'!$C$56,IF(3&lt;=12,'前提'!$C$57,IF(3&lt;=18,'前提'!$C$58,IF(3&lt;=24,'前提'!$C$59,IF(3&lt;=36,'前提'!$C$60,IF(3&lt;=48,'前提'!$C$61,'前提'!$C$62))))))</f>
        <v>0</v>
      </c>
      <c r="E30" s="17">
        <f>'前提'!$B$28*IF(4&lt;=6,'前提'!$C$56,IF(4&lt;=12,'前提'!$C$57,IF(4&lt;=18,'前提'!$C$58,IF(4&lt;=24,'前提'!$C$59,IF(4&lt;=36,'前提'!$C$60,IF(4&lt;=48,'前提'!$C$61,'前提'!$C$62))))))</f>
        <v>0</v>
      </c>
      <c r="F30" s="17">
        <f>'前提'!$B$28*IF(5&lt;=6,'前提'!$C$56,IF(5&lt;=12,'前提'!$C$57,IF(5&lt;=18,'前提'!$C$58,IF(5&lt;=24,'前提'!$C$59,IF(5&lt;=36,'前提'!$C$60,IF(5&lt;=48,'前提'!$C$61,'前提'!$C$62))))))</f>
        <v>0</v>
      </c>
      <c r="G30" s="17">
        <f>'前提'!$B$28*IF(6&lt;=6,'前提'!$C$56,IF(6&lt;=12,'前提'!$C$57,IF(6&lt;=18,'前提'!$C$58,IF(6&lt;=24,'前提'!$C$59,IF(6&lt;=36,'前提'!$C$60,IF(6&lt;=48,'前提'!$C$61,'前提'!$C$62))))))</f>
        <v>0</v>
      </c>
      <c r="H30" s="17">
        <f>'前提'!$B$28*IF(7&lt;=6,'前提'!$C$56,IF(7&lt;=12,'前提'!$C$57,IF(7&lt;=18,'前提'!$C$58,IF(7&lt;=24,'前提'!$C$59,IF(7&lt;=36,'前提'!$C$60,IF(7&lt;=48,'前提'!$C$61,'前提'!$C$62))))))</f>
        <v>400000</v>
      </c>
      <c r="I30" s="17">
        <f>'前提'!$B$28*IF(8&lt;=6,'前提'!$C$56,IF(8&lt;=12,'前提'!$C$57,IF(8&lt;=18,'前提'!$C$58,IF(8&lt;=24,'前提'!$C$59,IF(8&lt;=36,'前提'!$C$60,IF(8&lt;=48,'前提'!$C$61,'前提'!$C$62))))))</f>
        <v>400000</v>
      </c>
      <c r="J30" s="17">
        <f>'前提'!$B$28*IF(9&lt;=6,'前提'!$C$56,IF(9&lt;=12,'前提'!$C$57,IF(9&lt;=18,'前提'!$C$58,IF(9&lt;=24,'前提'!$C$59,IF(9&lt;=36,'前提'!$C$60,IF(9&lt;=48,'前提'!$C$61,'前提'!$C$62))))))</f>
        <v>400000</v>
      </c>
      <c r="K30" s="17">
        <f>'前提'!$B$28*IF(10&lt;=6,'前提'!$C$56,IF(10&lt;=12,'前提'!$C$57,IF(10&lt;=18,'前提'!$C$58,IF(10&lt;=24,'前提'!$C$59,IF(10&lt;=36,'前提'!$C$60,IF(10&lt;=48,'前提'!$C$61,'前提'!$C$62))))))</f>
        <v>400000</v>
      </c>
      <c r="L30" s="17">
        <f>'前提'!$B$28*IF(11&lt;=6,'前提'!$C$56,IF(11&lt;=12,'前提'!$C$57,IF(11&lt;=18,'前提'!$C$58,IF(11&lt;=24,'前提'!$C$59,IF(11&lt;=36,'前提'!$C$60,IF(11&lt;=48,'前提'!$C$61,'前提'!$C$62))))))</f>
        <v>400000</v>
      </c>
      <c r="M30" s="17">
        <f>'前提'!$B$28*IF(12&lt;=6,'前提'!$C$56,IF(12&lt;=12,'前提'!$C$57,IF(12&lt;=18,'前提'!$C$58,IF(12&lt;=24,'前提'!$C$59,IF(12&lt;=36,'前提'!$C$60,IF(12&lt;=48,'前提'!$C$61,'前提'!$C$62))))))</f>
        <v>400000</v>
      </c>
      <c r="N30" s="17">
        <f>'前提'!$B$28*IF(13&lt;=6,'前提'!$C$56,IF(13&lt;=12,'前提'!$C$57,IF(13&lt;=18,'前提'!$C$58,IF(13&lt;=24,'前提'!$C$59,IF(13&lt;=36,'前提'!$C$60,IF(13&lt;=48,'前提'!$C$61,'前提'!$C$62))))))</f>
        <v>800000</v>
      </c>
      <c r="O30" s="17">
        <f>'前提'!$B$28*IF(14&lt;=6,'前提'!$C$56,IF(14&lt;=12,'前提'!$C$57,IF(14&lt;=18,'前提'!$C$58,IF(14&lt;=24,'前提'!$C$59,IF(14&lt;=36,'前提'!$C$60,IF(14&lt;=48,'前提'!$C$61,'前提'!$C$62))))))</f>
        <v>800000</v>
      </c>
      <c r="P30" s="17">
        <f>'前提'!$B$28*IF(15&lt;=6,'前提'!$C$56,IF(15&lt;=12,'前提'!$C$57,IF(15&lt;=18,'前提'!$C$58,IF(15&lt;=24,'前提'!$C$59,IF(15&lt;=36,'前提'!$C$60,IF(15&lt;=48,'前提'!$C$61,'前提'!$C$62))))))</f>
        <v>800000</v>
      </c>
      <c r="Q30" s="17">
        <f>'前提'!$B$28*IF(16&lt;=6,'前提'!$C$56,IF(16&lt;=12,'前提'!$C$57,IF(16&lt;=18,'前提'!$C$58,IF(16&lt;=24,'前提'!$C$59,IF(16&lt;=36,'前提'!$C$60,IF(16&lt;=48,'前提'!$C$61,'前提'!$C$62))))))</f>
        <v>800000</v>
      </c>
      <c r="R30" s="17">
        <f>'前提'!$B$28*IF(17&lt;=6,'前提'!$C$56,IF(17&lt;=12,'前提'!$C$57,IF(17&lt;=18,'前提'!$C$58,IF(17&lt;=24,'前提'!$C$59,IF(17&lt;=36,'前提'!$C$60,IF(17&lt;=48,'前提'!$C$61,'前提'!$C$62))))))</f>
        <v>800000</v>
      </c>
      <c r="S30" s="17">
        <f>'前提'!$B$28*IF(18&lt;=6,'前提'!$C$56,IF(18&lt;=12,'前提'!$C$57,IF(18&lt;=18,'前提'!$C$58,IF(18&lt;=24,'前提'!$C$59,IF(18&lt;=36,'前提'!$C$60,IF(18&lt;=48,'前提'!$C$61,'前提'!$C$62))))))</f>
        <v>800000</v>
      </c>
      <c r="T30" s="17">
        <f>'前提'!$B$28*IF(19&lt;=6,'前提'!$C$56,IF(19&lt;=12,'前提'!$C$57,IF(19&lt;=18,'前提'!$C$58,IF(19&lt;=24,'前提'!$C$59,IF(19&lt;=36,'前提'!$C$60,IF(19&lt;=48,'前提'!$C$61,'前提'!$C$62))))))</f>
        <v>1000000</v>
      </c>
      <c r="U30" s="17">
        <f>'前提'!$B$28*IF(20&lt;=6,'前提'!$C$56,IF(20&lt;=12,'前提'!$C$57,IF(20&lt;=18,'前提'!$C$58,IF(20&lt;=24,'前提'!$C$59,IF(20&lt;=36,'前提'!$C$60,IF(20&lt;=48,'前提'!$C$61,'前提'!$C$62))))))</f>
        <v>1000000</v>
      </c>
      <c r="V30" s="17">
        <f>'前提'!$B$28*IF(21&lt;=6,'前提'!$C$56,IF(21&lt;=12,'前提'!$C$57,IF(21&lt;=18,'前提'!$C$58,IF(21&lt;=24,'前提'!$C$59,IF(21&lt;=36,'前提'!$C$60,IF(21&lt;=48,'前提'!$C$61,'前提'!$C$62))))))</f>
        <v>1000000</v>
      </c>
      <c r="W30" s="17">
        <f>'前提'!$B$28*IF(22&lt;=6,'前提'!$C$56,IF(22&lt;=12,'前提'!$C$57,IF(22&lt;=18,'前提'!$C$58,IF(22&lt;=24,'前提'!$C$59,IF(22&lt;=36,'前提'!$C$60,IF(22&lt;=48,'前提'!$C$61,'前提'!$C$62))))))</f>
        <v>1000000</v>
      </c>
      <c r="X30" s="17">
        <f>'前提'!$B$28*IF(23&lt;=6,'前提'!$C$56,IF(23&lt;=12,'前提'!$C$57,IF(23&lt;=18,'前提'!$C$58,IF(23&lt;=24,'前提'!$C$59,IF(23&lt;=36,'前提'!$C$60,IF(23&lt;=48,'前提'!$C$61,'前提'!$C$62))))))</f>
        <v>1000000</v>
      </c>
      <c r="Y30" s="17">
        <f>'前提'!$B$28*IF(24&lt;=6,'前提'!$C$56,IF(24&lt;=12,'前提'!$C$57,IF(24&lt;=18,'前提'!$C$58,IF(24&lt;=24,'前提'!$C$59,IF(24&lt;=36,'前提'!$C$60,IF(24&lt;=48,'前提'!$C$61,'前提'!$C$62))))))</f>
        <v>1000000</v>
      </c>
      <c r="Z30" s="17">
        <f>'前提'!$B$28*IF(25&lt;=6,'前提'!$C$56,IF(25&lt;=12,'前提'!$C$57,IF(25&lt;=18,'前提'!$C$58,IF(25&lt;=24,'前提'!$C$59,IF(25&lt;=36,'前提'!$C$60,IF(25&lt;=48,'前提'!$C$61,'前提'!$C$62))))))</f>
        <v>1400000</v>
      </c>
      <c r="AA30" s="17">
        <f>'前提'!$B$28*IF(26&lt;=6,'前提'!$C$56,IF(26&lt;=12,'前提'!$C$57,IF(26&lt;=18,'前提'!$C$58,IF(26&lt;=24,'前提'!$C$59,IF(26&lt;=36,'前提'!$C$60,IF(26&lt;=48,'前提'!$C$61,'前提'!$C$62))))))</f>
        <v>1400000</v>
      </c>
      <c r="AB30" s="17">
        <f>'前提'!$B$28*IF(27&lt;=6,'前提'!$C$56,IF(27&lt;=12,'前提'!$C$57,IF(27&lt;=18,'前提'!$C$58,IF(27&lt;=24,'前提'!$C$59,IF(27&lt;=36,'前提'!$C$60,IF(27&lt;=48,'前提'!$C$61,'前提'!$C$62))))))</f>
        <v>1400000</v>
      </c>
      <c r="AC30" s="17">
        <f>'前提'!$B$28*IF(28&lt;=6,'前提'!$C$56,IF(28&lt;=12,'前提'!$C$57,IF(28&lt;=18,'前提'!$C$58,IF(28&lt;=24,'前提'!$C$59,IF(28&lt;=36,'前提'!$C$60,IF(28&lt;=48,'前提'!$C$61,'前提'!$C$62))))))</f>
        <v>1400000</v>
      </c>
      <c r="AD30" s="17">
        <f>'前提'!$B$28*IF(29&lt;=6,'前提'!$C$56,IF(29&lt;=12,'前提'!$C$57,IF(29&lt;=18,'前提'!$C$58,IF(29&lt;=24,'前提'!$C$59,IF(29&lt;=36,'前提'!$C$60,IF(29&lt;=48,'前提'!$C$61,'前提'!$C$62))))))</f>
        <v>1400000</v>
      </c>
      <c r="AE30" s="17">
        <f>'前提'!$B$28*IF(30&lt;=6,'前提'!$C$56,IF(30&lt;=12,'前提'!$C$57,IF(30&lt;=18,'前提'!$C$58,IF(30&lt;=24,'前提'!$C$59,IF(30&lt;=36,'前提'!$C$60,IF(30&lt;=48,'前提'!$C$61,'前提'!$C$62))))))</f>
        <v>1400000</v>
      </c>
      <c r="AF30" s="17">
        <f>'前提'!$B$28*IF(31&lt;=6,'前提'!$C$56,IF(31&lt;=12,'前提'!$C$57,IF(31&lt;=18,'前提'!$C$58,IF(31&lt;=24,'前提'!$C$59,IF(31&lt;=36,'前提'!$C$60,IF(31&lt;=48,'前提'!$C$61,'前提'!$C$62))))))</f>
        <v>1400000</v>
      </c>
      <c r="AG30" s="17">
        <f>'前提'!$B$28*IF(32&lt;=6,'前提'!$C$56,IF(32&lt;=12,'前提'!$C$57,IF(32&lt;=18,'前提'!$C$58,IF(32&lt;=24,'前提'!$C$59,IF(32&lt;=36,'前提'!$C$60,IF(32&lt;=48,'前提'!$C$61,'前提'!$C$62))))))</f>
        <v>1400000</v>
      </c>
      <c r="AH30" s="17">
        <f>'前提'!$B$28*IF(33&lt;=6,'前提'!$C$56,IF(33&lt;=12,'前提'!$C$57,IF(33&lt;=18,'前提'!$C$58,IF(33&lt;=24,'前提'!$C$59,IF(33&lt;=36,'前提'!$C$60,IF(33&lt;=48,'前提'!$C$61,'前提'!$C$62))))))</f>
        <v>1400000</v>
      </c>
      <c r="AI30" s="17">
        <f>'前提'!$B$28*IF(34&lt;=6,'前提'!$C$56,IF(34&lt;=12,'前提'!$C$57,IF(34&lt;=18,'前提'!$C$58,IF(34&lt;=24,'前提'!$C$59,IF(34&lt;=36,'前提'!$C$60,IF(34&lt;=48,'前提'!$C$61,'前提'!$C$62))))))</f>
        <v>1400000</v>
      </c>
      <c r="AJ30" s="17">
        <f>'前提'!$B$28*IF(35&lt;=6,'前提'!$C$56,IF(35&lt;=12,'前提'!$C$57,IF(35&lt;=18,'前提'!$C$58,IF(35&lt;=24,'前提'!$C$59,IF(35&lt;=36,'前提'!$C$60,IF(35&lt;=48,'前提'!$C$61,'前提'!$C$62))))))</f>
        <v>1400000</v>
      </c>
      <c r="AK30" s="17">
        <f>'前提'!$B$28*IF(36&lt;=6,'前提'!$C$56,IF(36&lt;=12,'前提'!$C$57,IF(36&lt;=18,'前提'!$C$58,IF(36&lt;=24,'前提'!$C$59,IF(36&lt;=36,'前提'!$C$60,IF(36&lt;=48,'前提'!$C$61,'前提'!$C$62))))))</f>
        <v>1400000</v>
      </c>
      <c r="AL30" s="17">
        <f>'前提'!$B$28*IF(37&lt;=6,'前提'!$C$56,IF(37&lt;=12,'前提'!$C$57,IF(37&lt;=18,'前提'!$C$58,IF(37&lt;=24,'前提'!$C$59,IF(37&lt;=36,'前提'!$C$60,IF(37&lt;=48,'前提'!$C$61,'前提'!$C$62))))))</f>
        <v>1800000</v>
      </c>
      <c r="AM30" s="17">
        <f>'前提'!$B$28*IF(38&lt;=6,'前提'!$C$56,IF(38&lt;=12,'前提'!$C$57,IF(38&lt;=18,'前提'!$C$58,IF(38&lt;=24,'前提'!$C$59,IF(38&lt;=36,'前提'!$C$60,IF(38&lt;=48,'前提'!$C$61,'前提'!$C$62))))))</f>
        <v>1800000</v>
      </c>
      <c r="AN30" s="17">
        <f>'前提'!$B$28*IF(39&lt;=6,'前提'!$C$56,IF(39&lt;=12,'前提'!$C$57,IF(39&lt;=18,'前提'!$C$58,IF(39&lt;=24,'前提'!$C$59,IF(39&lt;=36,'前提'!$C$60,IF(39&lt;=48,'前提'!$C$61,'前提'!$C$62))))))</f>
        <v>1800000</v>
      </c>
      <c r="AO30" s="17">
        <f>'前提'!$B$28*IF(40&lt;=6,'前提'!$C$56,IF(40&lt;=12,'前提'!$C$57,IF(40&lt;=18,'前提'!$C$58,IF(40&lt;=24,'前提'!$C$59,IF(40&lt;=36,'前提'!$C$60,IF(40&lt;=48,'前提'!$C$61,'前提'!$C$62))))))</f>
        <v>1800000</v>
      </c>
      <c r="AP30" s="17">
        <f>'前提'!$B$28*IF(41&lt;=6,'前提'!$C$56,IF(41&lt;=12,'前提'!$C$57,IF(41&lt;=18,'前提'!$C$58,IF(41&lt;=24,'前提'!$C$59,IF(41&lt;=36,'前提'!$C$60,IF(41&lt;=48,'前提'!$C$61,'前提'!$C$62))))))</f>
        <v>1800000</v>
      </c>
      <c r="AQ30" s="17">
        <f>'前提'!$B$28*IF(42&lt;=6,'前提'!$C$56,IF(42&lt;=12,'前提'!$C$57,IF(42&lt;=18,'前提'!$C$58,IF(42&lt;=24,'前提'!$C$59,IF(42&lt;=36,'前提'!$C$60,IF(42&lt;=48,'前提'!$C$61,'前提'!$C$62))))))</f>
        <v>1800000</v>
      </c>
      <c r="AR30" s="17">
        <f>'前提'!$B$28*IF(43&lt;=6,'前提'!$C$56,IF(43&lt;=12,'前提'!$C$57,IF(43&lt;=18,'前提'!$C$58,IF(43&lt;=24,'前提'!$C$59,IF(43&lt;=36,'前提'!$C$60,IF(43&lt;=48,'前提'!$C$61,'前提'!$C$62))))))</f>
        <v>1800000</v>
      </c>
      <c r="AS30" s="17">
        <f>'前提'!$B$28*IF(44&lt;=6,'前提'!$C$56,IF(44&lt;=12,'前提'!$C$57,IF(44&lt;=18,'前提'!$C$58,IF(44&lt;=24,'前提'!$C$59,IF(44&lt;=36,'前提'!$C$60,IF(44&lt;=48,'前提'!$C$61,'前提'!$C$62))))))</f>
        <v>1800000</v>
      </c>
      <c r="AT30" s="17">
        <f>'前提'!$B$28*IF(45&lt;=6,'前提'!$C$56,IF(45&lt;=12,'前提'!$C$57,IF(45&lt;=18,'前提'!$C$58,IF(45&lt;=24,'前提'!$C$59,IF(45&lt;=36,'前提'!$C$60,IF(45&lt;=48,'前提'!$C$61,'前提'!$C$62))))))</f>
        <v>1800000</v>
      </c>
      <c r="AU30" s="17">
        <f>'前提'!$B$28*IF(46&lt;=6,'前提'!$C$56,IF(46&lt;=12,'前提'!$C$57,IF(46&lt;=18,'前提'!$C$58,IF(46&lt;=24,'前提'!$C$59,IF(46&lt;=36,'前提'!$C$60,IF(46&lt;=48,'前提'!$C$61,'前提'!$C$62))))))</f>
        <v>1800000</v>
      </c>
      <c r="AV30" s="17">
        <f>'前提'!$B$28*IF(47&lt;=6,'前提'!$C$56,IF(47&lt;=12,'前提'!$C$57,IF(47&lt;=18,'前提'!$C$58,IF(47&lt;=24,'前提'!$C$59,IF(47&lt;=36,'前提'!$C$60,IF(47&lt;=48,'前提'!$C$61,'前提'!$C$62))))))</f>
        <v>1800000</v>
      </c>
      <c r="AW30" s="17">
        <f>'前提'!$B$28*IF(48&lt;=6,'前提'!$C$56,IF(48&lt;=12,'前提'!$C$57,IF(48&lt;=18,'前提'!$C$58,IF(48&lt;=24,'前提'!$C$59,IF(48&lt;=36,'前提'!$C$60,IF(48&lt;=48,'前提'!$C$61,'前提'!$C$62))))))</f>
        <v>1800000</v>
      </c>
      <c r="AX30" s="17">
        <f>'前提'!$B$28*IF(49&lt;=6,'前提'!$C$56,IF(49&lt;=12,'前提'!$C$57,IF(49&lt;=18,'前提'!$C$58,IF(49&lt;=24,'前提'!$C$59,IF(49&lt;=36,'前提'!$C$60,IF(49&lt;=48,'前提'!$C$61,'前提'!$C$62))))))</f>
        <v>2000000</v>
      </c>
      <c r="AY30" s="17">
        <f>'前提'!$B$28*IF(50&lt;=6,'前提'!$C$56,IF(50&lt;=12,'前提'!$C$57,IF(50&lt;=18,'前提'!$C$58,IF(50&lt;=24,'前提'!$C$59,IF(50&lt;=36,'前提'!$C$60,IF(50&lt;=48,'前提'!$C$61,'前提'!$C$62))))))</f>
        <v>2000000</v>
      </c>
      <c r="AZ30" s="17">
        <f>'前提'!$B$28*IF(51&lt;=6,'前提'!$C$56,IF(51&lt;=12,'前提'!$C$57,IF(51&lt;=18,'前提'!$C$58,IF(51&lt;=24,'前提'!$C$59,IF(51&lt;=36,'前提'!$C$60,IF(51&lt;=48,'前提'!$C$61,'前提'!$C$62))))))</f>
        <v>2000000</v>
      </c>
      <c r="BA30" s="17">
        <f>'前提'!$B$28*IF(52&lt;=6,'前提'!$C$56,IF(52&lt;=12,'前提'!$C$57,IF(52&lt;=18,'前提'!$C$58,IF(52&lt;=24,'前提'!$C$59,IF(52&lt;=36,'前提'!$C$60,IF(52&lt;=48,'前提'!$C$61,'前提'!$C$62))))))</f>
        <v>2000000</v>
      </c>
      <c r="BB30" s="17">
        <f>'前提'!$B$28*IF(53&lt;=6,'前提'!$C$56,IF(53&lt;=12,'前提'!$C$57,IF(53&lt;=18,'前提'!$C$58,IF(53&lt;=24,'前提'!$C$59,IF(53&lt;=36,'前提'!$C$60,IF(53&lt;=48,'前提'!$C$61,'前提'!$C$62))))))</f>
        <v>2000000</v>
      </c>
      <c r="BC30" s="17">
        <f>'前提'!$B$28*IF(54&lt;=6,'前提'!$C$56,IF(54&lt;=12,'前提'!$C$57,IF(54&lt;=18,'前提'!$C$58,IF(54&lt;=24,'前提'!$C$59,IF(54&lt;=36,'前提'!$C$60,IF(54&lt;=48,'前提'!$C$61,'前提'!$C$62))))))</f>
        <v>2000000</v>
      </c>
      <c r="BD30" s="17">
        <f>'前提'!$B$28*IF(55&lt;=6,'前提'!$C$56,IF(55&lt;=12,'前提'!$C$57,IF(55&lt;=18,'前提'!$C$58,IF(55&lt;=24,'前提'!$C$59,IF(55&lt;=36,'前提'!$C$60,IF(55&lt;=48,'前提'!$C$61,'前提'!$C$62))))))</f>
        <v>2000000</v>
      </c>
      <c r="BE30" s="17">
        <f>'前提'!$B$28*IF(56&lt;=6,'前提'!$C$56,IF(56&lt;=12,'前提'!$C$57,IF(56&lt;=18,'前提'!$C$58,IF(56&lt;=24,'前提'!$C$59,IF(56&lt;=36,'前提'!$C$60,IF(56&lt;=48,'前提'!$C$61,'前提'!$C$62))))))</f>
        <v>2000000</v>
      </c>
      <c r="BF30" s="17">
        <f>'前提'!$B$28*IF(57&lt;=6,'前提'!$C$56,IF(57&lt;=12,'前提'!$C$57,IF(57&lt;=18,'前提'!$C$58,IF(57&lt;=24,'前提'!$C$59,IF(57&lt;=36,'前提'!$C$60,IF(57&lt;=48,'前提'!$C$61,'前提'!$C$62))))))</f>
        <v>2000000</v>
      </c>
      <c r="BG30" s="17">
        <f>'前提'!$B$28*IF(58&lt;=6,'前提'!$C$56,IF(58&lt;=12,'前提'!$C$57,IF(58&lt;=18,'前提'!$C$58,IF(58&lt;=24,'前提'!$C$59,IF(58&lt;=36,'前提'!$C$60,IF(58&lt;=48,'前提'!$C$61,'前提'!$C$62))))))</f>
        <v>2000000</v>
      </c>
      <c r="BH30" s="17">
        <f>'前提'!$B$28*IF(59&lt;=6,'前提'!$C$56,IF(59&lt;=12,'前提'!$C$57,IF(59&lt;=18,'前提'!$C$58,IF(59&lt;=24,'前提'!$C$59,IF(59&lt;=36,'前提'!$C$60,IF(59&lt;=48,'前提'!$C$61,'前提'!$C$62))))))</f>
        <v>2000000</v>
      </c>
      <c r="BI30" s="17">
        <f>'前提'!$B$28*IF(60&lt;=6,'前提'!$C$56,IF(60&lt;=12,'前提'!$C$57,IF(60&lt;=18,'前提'!$C$58,IF(60&lt;=24,'前提'!$C$59,IF(60&lt;=36,'前提'!$C$60,IF(60&lt;=48,'前提'!$C$61,'前提'!$C$62))))))</f>
        <v>2000000</v>
      </c>
    </row>
    <row r="31" ht="15.75" customHeight="1">
      <c r="A31" s="3" t="s">
        <v>193</v>
      </c>
      <c r="B31" s="17">
        <f>(B10+B14)*'前提'!$B$35</f>
        <v>12</v>
      </c>
      <c r="C31" s="17">
        <f>(C10+C14)*'前提'!$B$35</f>
        <v>36</v>
      </c>
      <c r="D31" s="17">
        <f>(D10+D14)*'前提'!$B$35</f>
        <v>60</v>
      </c>
      <c r="E31" s="17">
        <f>(E10+E14)*'前提'!$B$35</f>
        <v>84</v>
      </c>
      <c r="F31" s="17">
        <f>(F10+F14)*'前提'!$B$35</f>
        <v>108</v>
      </c>
      <c r="G31" s="17">
        <f>(G10+G14)*'前提'!$B$35</f>
        <v>132</v>
      </c>
      <c r="H31" s="17">
        <f>(H10+H14)*'前提'!$B$35</f>
        <v>192</v>
      </c>
      <c r="I31" s="17">
        <f>(I10+I14)*'前提'!$B$35</f>
        <v>264</v>
      </c>
      <c r="J31" s="17">
        <f>(J10+J14)*'前提'!$B$35</f>
        <v>336</v>
      </c>
      <c r="K31" s="17">
        <f>(K10+K14)*'前提'!$B$35</f>
        <v>408</v>
      </c>
      <c r="L31" s="17">
        <f>(L10+L14)*'前提'!$B$35</f>
        <v>480</v>
      </c>
      <c r="M31" s="17">
        <f>(M10+M14)*'前提'!$B$35</f>
        <v>564</v>
      </c>
      <c r="N31" s="17">
        <f>(N10+N14)*'前提'!$B$35</f>
        <v>648</v>
      </c>
      <c r="O31" s="17">
        <f>(O10+O14)*'前提'!$B$35</f>
        <v>732</v>
      </c>
      <c r="P31" s="17">
        <f>(P10+P14)*'前提'!$B$35</f>
        <v>804</v>
      </c>
      <c r="Q31" s="17">
        <f>(Q10+Q14)*'前提'!$B$35</f>
        <v>876</v>
      </c>
      <c r="R31" s="17">
        <f>(R10+R14)*'前提'!$B$35</f>
        <v>960</v>
      </c>
      <c r="S31" s="17">
        <f>(S10+S14)*'前提'!$B$35</f>
        <v>1044</v>
      </c>
      <c r="T31" s="17">
        <f>(T10+T14)*'前提'!$B$35</f>
        <v>1140</v>
      </c>
      <c r="U31" s="17">
        <f>(U10+U14)*'前提'!$B$35</f>
        <v>1236</v>
      </c>
      <c r="V31" s="17">
        <f>(V10+V14)*'前提'!$B$35</f>
        <v>1344</v>
      </c>
      <c r="W31" s="17">
        <f>(W10+W14)*'前提'!$B$35</f>
        <v>1452</v>
      </c>
      <c r="X31" s="17">
        <f>(X10+X14)*'前提'!$B$35</f>
        <v>1560</v>
      </c>
      <c r="Y31" s="17">
        <f>(Y10+Y14)*'前提'!$B$35</f>
        <v>1668</v>
      </c>
      <c r="Z31" s="17">
        <f>(Z10+Z14)*'前提'!$B$35</f>
        <v>1812</v>
      </c>
      <c r="AA31" s="17">
        <f>(AA10+AA14)*'前提'!$B$35</f>
        <v>1944</v>
      </c>
      <c r="AB31" s="17">
        <f>(AB10+AB14)*'前提'!$B$35</f>
        <v>2076</v>
      </c>
      <c r="AC31" s="17">
        <f>(AC10+AC14)*'前提'!$B$35</f>
        <v>2220</v>
      </c>
      <c r="AD31" s="17">
        <f>(AD10+AD14)*'前提'!$B$35</f>
        <v>2364</v>
      </c>
      <c r="AE31" s="17">
        <f>(AE10+AE14)*'前提'!$B$35</f>
        <v>2508</v>
      </c>
      <c r="AF31" s="17">
        <f>(AF10+AF14)*'前提'!$B$35</f>
        <v>2664</v>
      </c>
      <c r="AG31" s="17">
        <f>(AG10+AG14)*'前提'!$B$35</f>
        <v>2820</v>
      </c>
      <c r="AH31" s="17">
        <f>(AH10+AH14)*'前提'!$B$35</f>
        <v>2976</v>
      </c>
      <c r="AI31" s="17">
        <f>(AI10+AI14)*'前提'!$B$35</f>
        <v>3120</v>
      </c>
      <c r="AJ31" s="17">
        <f>(AJ10+AJ14)*'前提'!$B$35</f>
        <v>3264</v>
      </c>
      <c r="AK31" s="17">
        <f>(AK10+AK14)*'前提'!$B$35</f>
        <v>3408</v>
      </c>
      <c r="AL31" s="17">
        <f>(AL10+AL14)*'前提'!$B$35</f>
        <v>3576</v>
      </c>
      <c r="AM31" s="17">
        <f>(AM10+AM14)*'前提'!$B$35</f>
        <v>3756</v>
      </c>
      <c r="AN31" s="17">
        <f>(AN10+AN14)*'前提'!$B$35</f>
        <v>3936</v>
      </c>
      <c r="AO31" s="17">
        <f>(AO10+AO14)*'前提'!$B$35</f>
        <v>4116</v>
      </c>
      <c r="AP31" s="17">
        <f>(AP10+AP14)*'前提'!$B$35</f>
        <v>4308</v>
      </c>
      <c r="AQ31" s="17">
        <f>(AQ10+AQ14)*'前提'!$B$35</f>
        <v>4488</v>
      </c>
      <c r="AR31" s="17">
        <f>(AR10+AR14)*'前提'!$B$35</f>
        <v>4668</v>
      </c>
      <c r="AS31" s="17">
        <f>(AS10+AS14)*'前提'!$B$35</f>
        <v>4860</v>
      </c>
      <c r="AT31" s="17">
        <f>(AT10+AT14)*'前提'!$B$35</f>
        <v>5052</v>
      </c>
      <c r="AU31" s="17">
        <f>(AU10+AU14)*'前提'!$B$35</f>
        <v>5244</v>
      </c>
      <c r="AV31" s="17">
        <f>(AV10+AV14)*'前提'!$B$35</f>
        <v>5424</v>
      </c>
      <c r="AW31" s="17">
        <f>(AW10+AW14)*'前提'!$B$35</f>
        <v>5616</v>
      </c>
      <c r="AX31" s="17">
        <f>(AX10+AX14)*'前提'!$B$35</f>
        <v>5832</v>
      </c>
      <c r="AY31" s="17">
        <f>(AY10+AY14)*'前提'!$B$35</f>
        <v>6036</v>
      </c>
      <c r="AZ31" s="17">
        <f>(AZ10+AZ14)*'前提'!$B$35</f>
        <v>6252</v>
      </c>
      <c r="BA31" s="17">
        <f>(BA10+BA14)*'前提'!$B$35</f>
        <v>6468</v>
      </c>
      <c r="BB31" s="17">
        <f>(BB10+BB14)*'前提'!$B$35</f>
        <v>6696</v>
      </c>
      <c r="BC31" s="17">
        <f>(BC10+BC14)*'前提'!$B$35</f>
        <v>6924</v>
      </c>
      <c r="BD31" s="17">
        <f>(BD10+BD14)*'前提'!$B$35</f>
        <v>7152</v>
      </c>
      <c r="BE31" s="17">
        <f>(BE10+BE14)*'前提'!$B$35</f>
        <v>7380</v>
      </c>
      <c r="BF31" s="17">
        <f>(BF10+BF14)*'前提'!$B$35</f>
        <v>7596</v>
      </c>
      <c r="BG31" s="17">
        <f>(BG10+BG14)*'前提'!$B$35</f>
        <v>7812</v>
      </c>
      <c r="BH31" s="17">
        <f>(BH10+BH14)*'前提'!$B$35</f>
        <v>8028</v>
      </c>
      <c r="BI31" s="17">
        <f>(BI10+BI14)*'前提'!$B$35</f>
        <v>8256</v>
      </c>
    </row>
    <row r="32" ht="15.75" customHeight="1">
      <c r="A32" s="9" t="s">
        <v>194</v>
      </c>
      <c r="B32" s="17">
        <f>IF((B10+B14)&lt;=50,'前提'!$B$36,IF((B10+B14)&lt;=200,'前提'!$B$37,'前提'!$B$38))+IF((B10+B14)&lt;=50,'前提'!$B$39,IF((B10+B14)&lt;=200,'前提'!$B$40,'前提'!$B$41))</f>
        <v>10000</v>
      </c>
      <c r="C32" s="17">
        <f>IF((C10+C14)&lt;=50,'前提'!$B$36,IF((C10+C14)&lt;=200,'前提'!$B$37,'前提'!$B$38))+IF((C10+C14)&lt;=50,'前提'!$B$39,IF((C10+C14)&lt;=200,'前提'!$B$40,'前提'!$B$41))</f>
        <v>10000</v>
      </c>
      <c r="D32" s="17">
        <f>IF((D10+D14)&lt;=50,'前提'!$B$36,IF((D10+D14)&lt;=200,'前提'!$B$37,'前提'!$B$38))+IF((D10+D14)&lt;=50,'前提'!$B$39,IF((D10+D14)&lt;=200,'前提'!$B$40,'前提'!$B$41))</f>
        <v>10000</v>
      </c>
      <c r="E32" s="17">
        <f>IF((E10+E14)&lt;=50,'前提'!$B$36,IF((E10+E14)&lt;=200,'前提'!$B$37,'前提'!$B$38))+IF((E10+E14)&lt;=50,'前提'!$B$39,IF((E10+E14)&lt;=200,'前提'!$B$40,'前提'!$B$41))</f>
        <v>10000</v>
      </c>
      <c r="F32" s="17">
        <f>IF((F10+F14)&lt;=50,'前提'!$B$36,IF((F10+F14)&lt;=200,'前提'!$B$37,'前提'!$B$38))+IF((F10+F14)&lt;=50,'前提'!$B$39,IF((F10+F14)&lt;=200,'前提'!$B$40,'前提'!$B$41))</f>
        <v>10000</v>
      </c>
      <c r="G32" s="17">
        <f>IF((G10+G14)&lt;=50,'前提'!$B$36,IF((G10+G14)&lt;=200,'前提'!$B$37,'前提'!$B$38))+IF((G10+G14)&lt;=50,'前提'!$B$39,IF((G10+G14)&lt;=200,'前提'!$B$40,'前提'!$B$41))</f>
        <v>10000</v>
      </c>
      <c r="H32" s="17">
        <f>IF((H10+H14)&lt;=50,'前提'!$B$36,IF((H10+H14)&lt;=200,'前提'!$B$37,'前提'!$B$38))+IF((H10+H14)&lt;=50,'前提'!$B$39,IF((H10+H14)&lt;=200,'前提'!$B$40,'前提'!$B$41))</f>
        <v>10000</v>
      </c>
      <c r="I32" s="17">
        <f>IF((I10+I14)&lt;=50,'前提'!$B$36,IF((I10+I14)&lt;=200,'前提'!$B$37,'前提'!$B$38))+IF((I10+I14)&lt;=50,'前提'!$B$39,IF((I10+I14)&lt;=200,'前提'!$B$40,'前提'!$B$41))</f>
        <v>10000</v>
      </c>
      <c r="J32" s="17">
        <f>IF((J10+J14)&lt;=50,'前提'!$B$36,IF((J10+J14)&lt;=200,'前提'!$B$37,'前提'!$B$38))+IF((J10+J14)&lt;=50,'前提'!$B$39,IF((J10+J14)&lt;=200,'前提'!$B$40,'前提'!$B$41))</f>
        <v>10000</v>
      </c>
      <c r="K32" s="17">
        <f>IF((K10+K14)&lt;=50,'前提'!$B$36,IF((K10+K14)&lt;=200,'前提'!$B$37,'前提'!$B$38))+IF((K10+K14)&lt;=50,'前提'!$B$39,IF((K10+K14)&lt;=200,'前提'!$B$40,'前提'!$B$41))</f>
        <v>10000</v>
      </c>
      <c r="L32" s="17">
        <f>IF((L10+L14)&lt;=50,'前提'!$B$36,IF((L10+L14)&lt;=200,'前提'!$B$37,'前提'!$B$38))+IF((L10+L14)&lt;=50,'前提'!$B$39,IF((L10+L14)&lt;=200,'前提'!$B$40,'前提'!$B$41))</f>
        <v>10000</v>
      </c>
      <c r="M32" s="17">
        <f>IF((M10+M14)&lt;=50,'前提'!$B$36,IF((M10+M14)&lt;=200,'前提'!$B$37,'前提'!$B$38))+IF((M10+M14)&lt;=50,'前提'!$B$39,IF((M10+M14)&lt;=200,'前提'!$B$40,'前提'!$B$41))</f>
        <v>10000</v>
      </c>
      <c r="N32" s="17">
        <f>IF((N10+N14)&lt;=50,'前提'!$B$36,IF((N10+N14)&lt;=200,'前提'!$B$37,'前提'!$B$38))+IF((N10+N14)&lt;=50,'前提'!$B$39,IF((N10+N14)&lt;=200,'前提'!$B$40,'前提'!$B$41))</f>
        <v>20000</v>
      </c>
      <c r="O32" s="17">
        <f>IF((O10+O14)&lt;=50,'前提'!$B$36,IF((O10+O14)&lt;=200,'前提'!$B$37,'前提'!$B$38))+IF((O10+O14)&lt;=50,'前提'!$B$39,IF((O10+O14)&lt;=200,'前提'!$B$40,'前提'!$B$41))</f>
        <v>20000</v>
      </c>
      <c r="P32" s="17">
        <f>IF((P10+P14)&lt;=50,'前提'!$B$36,IF((P10+P14)&lt;=200,'前提'!$B$37,'前提'!$B$38))+IF((P10+P14)&lt;=50,'前提'!$B$39,IF((P10+P14)&lt;=200,'前提'!$B$40,'前提'!$B$41))</f>
        <v>20000</v>
      </c>
      <c r="Q32" s="17">
        <f>IF((Q10+Q14)&lt;=50,'前提'!$B$36,IF((Q10+Q14)&lt;=200,'前提'!$B$37,'前提'!$B$38))+IF((Q10+Q14)&lt;=50,'前提'!$B$39,IF((Q10+Q14)&lt;=200,'前提'!$B$40,'前提'!$B$41))</f>
        <v>20000</v>
      </c>
      <c r="R32" s="17">
        <f>IF((R10+R14)&lt;=50,'前提'!$B$36,IF((R10+R14)&lt;=200,'前提'!$B$37,'前提'!$B$38))+IF((R10+R14)&lt;=50,'前提'!$B$39,IF((R10+R14)&lt;=200,'前提'!$B$40,'前提'!$B$41))</f>
        <v>20000</v>
      </c>
      <c r="S32" s="17">
        <f>IF((S10+S14)&lt;=50,'前提'!$B$36,IF((S10+S14)&lt;=200,'前提'!$B$37,'前提'!$B$38))+IF((S10+S14)&lt;=50,'前提'!$B$39,IF((S10+S14)&lt;=200,'前提'!$B$40,'前提'!$B$41))</f>
        <v>20000</v>
      </c>
      <c r="T32" s="17">
        <f>IF((T10+T14)&lt;=50,'前提'!$B$36,IF((T10+T14)&lt;=200,'前提'!$B$37,'前提'!$B$38))+IF((T10+T14)&lt;=50,'前提'!$B$39,IF((T10+T14)&lt;=200,'前提'!$B$40,'前提'!$B$41))</f>
        <v>20000</v>
      </c>
      <c r="U32" s="17">
        <f>IF((U10+U14)&lt;=50,'前提'!$B$36,IF((U10+U14)&lt;=200,'前提'!$B$37,'前提'!$B$38))+IF((U10+U14)&lt;=50,'前提'!$B$39,IF((U10+U14)&lt;=200,'前提'!$B$40,'前提'!$B$41))</f>
        <v>20000</v>
      </c>
      <c r="V32" s="17">
        <f>IF((V10+V14)&lt;=50,'前提'!$B$36,IF((V10+V14)&lt;=200,'前提'!$B$37,'前提'!$B$38))+IF((V10+V14)&lt;=50,'前提'!$B$39,IF((V10+V14)&lt;=200,'前提'!$B$40,'前提'!$B$41))</f>
        <v>20000</v>
      </c>
      <c r="W32" s="17">
        <f>IF((W10+W14)&lt;=50,'前提'!$B$36,IF((W10+W14)&lt;=200,'前提'!$B$37,'前提'!$B$38))+IF((W10+W14)&lt;=50,'前提'!$B$39,IF((W10+W14)&lt;=200,'前提'!$B$40,'前提'!$B$41))</f>
        <v>20000</v>
      </c>
      <c r="X32" s="17">
        <f>IF((X10+X14)&lt;=50,'前提'!$B$36,IF((X10+X14)&lt;=200,'前提'!$B$37,'前提'!$B$38))+IF((X10+X14)&lt;=50,'前提'!$B$39,IF((X10+X14)&lt;=200,'前提'!$B$40,'前提'!$B$41))</f>
        <v>20000</v>
      </c>
      <c r="Y32" s="17">
        <f>IF((Y10+Y14)&lt;=50,'前提'!$B$36,IF((Y10+Y14)&lt;=200,'前提'!$B$37,'前提'!$B$38))+IF((Y10+Y14)&lt;=50,'前提'!$B$39,IF((Y10+Y14)&lt;=200,'前提'!$B$40,'前提'!$B$41))</f>
        <v>20000</v>
      </c>
      <c r="Z32" s="17">
        <f>IF((Z10+Z14)&lt;=50,'前提'!$B$36,IF((Z10+Z14)&lt;=200,'前提'!$B$37,'前提'!$B$38))+IF((Z10+Z14)&lt;=50,'前提'!$B$39,IF((Z10+Z14)&lt;=200,'前提'!$B$40,'前提'!$B$41))</f>
        <v>20000</v>
      </c>
      <c r="AA32" s="17">
        <f>IF((AA10+AA14)&lt;=50,'前提'!$B$36,IF((AA10+AA14)&lt;=200,'前提'!$B$37,'前提'!$B$38))+IF((AA10+AA14)&lt;=50,'前提'!$B$39,IF((AA10+AA14)&lt;=200,'前提'!$B$40,'前提'!$B$41))</f>
        <v>20000</v>
      </c>
      <c r="AB32" s="17">
        <f>IF((AB10+AB14)&lt;=50,'前提'!$B$36,IF((AB10+AB14)&lt;=200,'前提'!$B$37,'前提'!$B$38))+IF((AB10+AB14)&lt;=50,'前提'!$B$39,IF((AB10+AB14)&lt;=200,'前提'!$B$40,'前提'!$B$41))</f>
        <v>20000</v>
      </c>
      <c r="AC32" s="17">
        <f>IF((AC10+AC14)&lt;=50,'前提'!$B$36,IF((AC10+AC14)&lt;=200,'前提'!$B$37,'前提'!$B$38))+IF((AC10+AC14)&lt;=50,'前提'!$B$39,IF((AC10+AC14)&lt;=200,'前提'!$B$40,'前提'!$B$41))</f>
        <v>20000</v>
      </c>
      <c r="AD32" s="17">
        <f>IF((AD10+AD14)&lt;=50,'前提'!$B$36,IF((AD10+AD14)&lt;=200,'前提'!$B$37,'前提'!$B$38))+IF((AD10+AD14)&lt;=50,'前提'!$B$39,IF((AD10+AD14)&lt;=200,'前提'!$B$40,'前提'!$B$41))</f>
        <v>20000</v>
      </c>
      <c r="AE32" s="17">
        <f>IF((AE10+AE14)&lt;=50,'前提'!$B$36,IF((AE10+AE14)&lt;=200,'前提'!$B$37,'前提'!$B$38))+IF((AE10+AE14)&lt;=50,'前提'!$B$39,IF((AE10+AE14)&lt;=200,'前提'!$B$40,'前提'!$B$41))</f>
        <v>40000</v>
      </c>
      <c r="AF32" s="17">
        <f>IF((AF10+AF14)&lt;=50,'前提'!$B$36,IF((AF10+AF14)&lt;=200,'前提'!$B$37,'前提'!$B$38))+IF((AF10+AF14)&lt;=50,'前提'!$B$39,IF((AF10+AF14)&lt;=200,'前提'!$B$40,'前提'!$B$41))</f>
        <v>40000</v>
      </c>
      <c r="AG32" s="17">
        <f>IF((AG10+AG14)&lt;=50,'前提'!$B$36,IF((AG10+AG14)&lt;=200,'前提'!$B$37,'前提'!$B$38))+IF((AG10+AG14)&lt;=50,'前提'!$B$39,IF((AG10+AG14)&lt;=200,'前提'!$B$40,'前提'!$B$41))</f>
        <v>40000</v>
      </c>
      <c r="AH32" s="17">
        <f>IF((AH10+AH14)&lt;=50,'前提'!$B$36,IF((AH10+AH14)&lt;=200,'前提'!$B$37,'前提'!$B$38))+IF((AH10+AH14)&lt;=50,'前提'!$B$39,IF((AH10+AH14)&lt;=200,'前提'!$B$40,'前提'!$B$41))</f>
        <v>40000</v>
      </c>
      <c r="AI32" s="17">
        <f>IF((AI10+AI14)&lt;=50,'前提'!$B$36,IF((AI10+AI14)&lt;=200,'前提'!$B$37,'前提'!$B$38))+IF((AI10+AI14)&lt;=50,'前提'!$B$39,IF((AI10+AI14)&lt;=200,'前提'!$B$40,'前提'!$B$41))</f>
        <v>40000</v>
      </c>
      <c r="AJ32" s="17">
        <f>IF((AJ10+AJ14)&lt;=50,'前提'!$B$36,IF((AJ10+AJ14)&lt;=200,'前提'!$B$37,'前提'!$B$38))+IF((AJ10+AJ14)&lt;=50,'前提'!$B$39,IF((AJ10+AJ14)&lt;=200,'前提'!$B$40,'前提'!$B$41))</f>
        <v>40000</v>
      </c>
      <c r="AK32" s="17">
        <f>IF((AK10+AK14)&lt;=50,'前提'!$B$36,IF((AK10+AK14)&lt;=200,'前提'!$B$37,'前提'!$B$38))+IF((AK10+AK14)&lt;=50,'前提'!$B$39,IF((AK10+AK14)&lt;=200,'前提'!$B$40,'前提'!$B$41))</f>
        <v>40000</v>
      </c>
      <c r="AL32" s="17">
        <f>IF((AL10+AL14)&lt;=50,'前提'!$B$36,IF((AL10+AL14)&lt;=200,'前提'!$B$37,'前提'!$B$38))+IF((AL10+AL14)&lt;=50,'前提'!$B$39,IF((AL10+AL14)&lt;=200,'前提'!$B$40,'前提'!$B$41))</f>
        <v>40000</v>
      </c>
      <c r="AM32" s="17">
        <f>IF((AM10+AM14)&lt;=50,'前提'!$B$36,IF((AM10+AM14)&lt;=200,'前提'!$B$37,'前提'!$B$38))+IF((AM10+AM14)&lt;=50,'前提'!$B$39,IF((AM10+AM14)&lt;=200,'前提'!$B$40,'前提'!$B$41))</f>
        <v>40000</v>
      </c>
      <c r="AN32" s="17">
        <f>IF((AN10+AN14)&lt;=50,'前提'!$B$36,IF((AN10+AN14)&lt;=200,'前提'!$B$37,'前提'!$B$38))+IF((AN10+AN14)&lt;=50,'前提'!$B$39,IF((AN10+AN14)&lt;=200,'前提'!$B$40,'前提'!$B$41))</f>
        <v>40000</v>
      </c>
      <c r="AO32" s="17">
        <f>IF((AO10+AO14)&lt;=50,'前提'!$B$36,IF((AO10+AO14)&lt;=200,'前提'!$B$37,'前提'!$B$38))+IF((AO10+AO14)&lt;=50,'前提'!$B$39,IF((AO10+AO14)&lt;=200,'前提'!$B$40,'前提'!$B$41))</f>
        <v>40000</v>
      </c>
      <c r="AP32" s="17">
        <f>IF((AP10+AP14)&lt;=50,'前提'!$B$36,IF((AP10+AP14)&lt;=200,'前提'!$B$37,'前提'!$B$38))+IF((AP10+AP14)&lt;=50,'前提'!$B$39,IF((AP10+AP14)&lt;=200,'前提'!$B$40,'前提'!$B$41))</f>
        <v>40000</v>
      </c>
      <c r="AQ32" s="17">
        <f>IF((AQ10+AQ14)&lt;=50,'前提'!$B$36,IF((AQ10+AQ14)&lt;=200,'前提'!$B$37,'前提'!$B$38))+IF((AQ10+AQ14)&lt;=50,'前提'!$B$39,IF((AQ10+AQ14)&lt;=200,'前提'!$B$40,'前提'!$B$41))</f>
        <v>40000</v>
      </c>
      <c r="AR32" s="17">
        <f>IF((AR10+AR14)&lt;=50,'前提'!$B$36,IF((AR10+AR14)&lt;=200,'前提'!$B$37,'前提'!$B$38))+IF((AR10+AR14)&lt;=50,'前提'!$B$39,IF((AR10+AR14)&lt;=200,'前提'!$B$40,'前提'!$B$41))</f>
        <v>40000</v>
      </c>
      <c r="AS32" s="17">
        <f>IF((AS10+AS14)&lt;=50,'前提'!$B$36,IF((AS10+AS14)&lt;=200,'前提'!$B$37,'前提'!$B$38))+IF((AS10+AS14)&lt;=50,'前提'!$B$39,IF((AS10+AS14)&lt;=200,'前提'!$B$40,'前提'!$B$41))</f>
        <v>40000</v>
      </c>
      <c r="AT32" s="17">
        <f>IF((AT10+AT14)&lt;=50,'前提'!$B$36,IF((AT10+AT14)&lt;=200,'前提'!$B$37,'前提'!$B$38))+IF((AT10+AT14)&lt;=50,'前提'!$B$39,IF((AT10+AT14)&lt;=200,'前提'!$B$40,'前提'!$B$41))</f>
        <v>40000</v>
      </c>
      <c r="AU32" s="17">
        <f>IF((AU10+AU14)&lt;=50,'前提'!$B$36,IF((AU10+AU14)&lt;=200,'前提'!$B$37,'前提'!$B$38))+IF((AU10+AU14)&lt;=50,'前提'!$B$39,IF((AU10+AU14)&lt;=200,'前提'!$B$40,'前提'!$B$41))</f>
        <v>40000</v>
      </c>
      <c r="AV32" s="17">
        <f>IF((AV10+AV14)&lt;=50,'前提'!$B$36,IF((AV10+AV14)&lt;=200,'前提'!$B$37,'前提'!$B$38))+IF((AV10+AV14)&lt;=50,'前提'!$B$39,IF((AV10+AV14)&lt;=200,'前提'!$B$40,'前提'!$B$41))</f>
        <v>40000</v>
      </c>
      <c r="AW32" s="17">
        <f>IF((AW10+AW14)&lt;=50,'前提'!$B$36,IF((AW10+AW14)&lt;=200,'前提'!$B$37,'前提'!$B$38))+IF((AW10+AW14)&lt;=50,'前提'!$B$39,IF((AW10+AW14)&lt;=200,'前提'!$B$40,'前提'!$B$41))</f>
        <v>40000</v>
      </c>
      <c r="AX32" s="17">
        <f>IF((AX10+AX14)&lt;=50,'前提'!$B$36,IF((AX10+AX14)&lt;=200,'前提'!$B$37,'前提'!$B$38))+IF((AX10+AX14)&lt;=50,'前提'!$B$39,IF((AX10+AX14)&lt;=200,'前提'!$B$40,'前提'!$B$41))</f>
        <v>40000</v>
      </c>
      <c r="AY32" s="17">
        <f>IF((AY10+AY14)&lt;=50,'前提'!$B$36,IF((AY10+AY14)&lt;=200,'前提'!$B$37,'前提'!$B$38))+IF((AY10+AY14)&lt;=50,'前提'!$B$39,IF((AY10+AY14)&lt;=200,'前提'!$B$40,'前提'!$B$41))</f>
        <v>40000</v>
      </c>
      <c r="AZ32" s="17">
        <f>IF((AZ10+AZ14)&lt;=50,'前提'!$B$36,IF((AZ10+AZ14)&lt;=200,'前提'!$B$37,'前提'!$B$38))+IF((AZ10+AZ14)&lt;=50,'前提'!$B$39,IF((AZ10+AZ14)&lt;=200,'前提'!$B$40,'前提'!$B$41))</f>
        <v>40000</v>
      </c>
      <c r="BA32" s="17">
        <f>IF((BA10+BA14)&lt;=50,'前提'!$B$36,IF((BA10+BA14)&lt;=200,'前提'!$B$37,'前提'!$B$38))+IF((BA10+BA14)&lt;=50,'前提'!$B$39,IF((BA10+BA14)&lt;=200,'前提'!$B$40,'前提'!$B$41))</f>
        <v>40000</v>
      </c>
      <c r="BB32" s="17">
        <f>IF((BB10+BB14)&lt;=50,'前提'!$B$36,IF((BB10+BB14)&lt;=200,'前提'!$B$37,'前提'!$B$38))+IF((BB10+BB14)&lt;=50,'前提'!$B$39,IF((BB10+BB14)&lt;=200,'前提'!$B$40,'前提'!$B$41))</f>
        <v>40000</v>
      </c>
      <c r="BC32" s="17">
        <f>IF((BC10+BC14)&lt;=50,'前提'!$B$36,IF((BC10+BC14)&lt;=200,'前提'!$B$37,'前提'!$B$38))+IF((BC10+BC14)&lt;=50,'前提'!$B$39,IF((BC10+BC14)&lt;=200,'前提'!$B$40,'前提'!$B$41))</f>
        <v>40000</v>
      </c>
      <c r="BD32" s="17">
        <f>IF((BD10+BD14)&lt;=50,'前提'!$B$36,IF((BD10+BD14)&lt;=200,'前提'!$B$37,'前提'!$B$38))+IF((BD10+BD14)&lt;=50,'前提'!$B$39,IF((BD10+BD14)&lt;=200,'前提'!$B$40,'前提'!$B$41))</f>
        <v>40000</v>
      </c>
      <c r="BE32" s="17">
        <f>IF((BE10+BE14)&lt;=50,'前提'!$B$36,IF((BE10+BE14)&lt;=200,'前提'!$B$37,'前提'!$B$38))+IF((BE10+BE14)&lt;=50,'前提'!$B$39,IF((BE10+BE14)&lt;=200,'前提'!$B$40,'前提'!$B$41))</f>
        <v>40000</v>
      </c>
      <c r="BF32" s="17">
        <f>IF((BF10+BF14)&lt;=50,'前提'!$B$36,IF((BF10+BF14)&lt;=200,'前提'!$B$37,'前提'!$B$38))+IF((BF10+BF14)&lt;=50,'前提'!$B$39,IF((BF10+BF14)&lt;=200,'前提'!$B$40,'前提'!$B$41))</f>
        <v>40000</v>
      </c>
      <c r="BG32" s="17">
        <f>IF((BG10+BG14)&lt;=50,'前提'!$B$36,IF((BG10+BG14)&lt;=200,'前提'!$B$37,'前提'!$B$38))+IF((BG10+BG14)&lt;=50,'前提'!$B$39,IF((BG10+BG14)&lt;=200,'前提'!$B$40,'前提'!$B$41))</f>
        <v>40000</v>
      </c>
      <c r="BH32" s="17">
        <f>IF((BH10+BH14)&lt;=50,'前提'!$B$36,IF((BH10+BH14)&lt;=200,'前提'!$B$37,'前提'!$B$38))+IF((BH10+BH14)&lt;=50,'前提'!$B$39,IF((BH10+BH14)&lt;=200,'前提'!$B$40,'前提'!$B$41))</f>
        <v>40000</v>
      </c>
      <c r="BI32" s="17">
        <f>IF((BI10+BI14)&lt;=50,'前提'!$B$36,IF((BI10+BI14)&lt;=200,'前提'!$B$37,'前提'!$B$38))+IF((BI10+BI14)&lt;=50,'前提'!$B$39,IF((BI10+BI14)&lt;=200,'前提'!$B$40,'前提'!$B$41))</f>
        <v>40000</v>
      </c>
    </row>
    <row r="33" ht="15.75" customHeight="1">
      <c r="A33" s="9" t="s">
        <v>195</v>
      </c>
      <c r="B33" s="17">
        <f>'前提'!$B$31</f>
        <v>100000</v>
      </c>
      <c r="C33" s="17">
        <f>'前提'!$B$31</f>
        <v>100000</v>
      </c>
      <c r="D33" s="17">
        <f>'前提'!$B$31</f>
        <v>100000</v>
      </c>
      <c r="E33" s="17">
        <f>'前提'!$B$31</f>
        <v>100000</v>
      </c>
      <c r="F33" s="17">
        <f>'前提'!$B$31</f>
        <v>100000</v>
      </c>
      <c r="G33" s="17">
        <f>'前提'!$B$31</f>
        <v>100000</v>
      </c>
      <c r="H33" s="17">
        <f>'前提'!$B$31</f>
        <v>100000</v>
      </c>
      <c r="I33" s="17">
        <f>'前提'!$B$31</f>
        <v>100000</v>
      </c>
      <c r="J33" s="17">
        <f>'前提'!$B$31</f>
        <v>100000</v>
      </c>
      <c r="K33" s="17">
        <f>'前提'!$B$31</f>
        <v>100000</v>
      </c>
      <c r="L33" s="17">
        <f>'前提'!$B$31</f>
        <v>100000</v>
      </c>
      <c r="M33" s="17">
        <f>'前提'!$B$31</f>
        <v>100000</v>
      </c>
      <c r="N33" s="17">
        <f>'前提'!$B$31</f>
        <v>100000</v>
      </c>
      <c r="O33" s="17">
        <f>'前提'!$B$31</f>
        <v>100000</v>
      </c>
      <c r="P33" s="17">
        <f>'前提'!$B$31</f>
        <v>100000</v>
      </c>
      <c r="Q33" s="17">
        <f>'前提'!$B$31</f>
        <v>100000</v>
      </c>
      <c r="R33" s="17">
        <f>'前提'!$B$31</f>
        <v>100000</v>
      </c>
      <c r="S33" s="17">
        <f>'前提'!$B$31</f>
        <v>100000</v>
      </c>
      <c r="T33" s="17">
        <f>'前提'!$B$31</f>
        <v>100000</v>
      </c>
      <c r="U33" s="17">
        <f>'前提'!$B$31</f>
        <v>100000</v>
      </c>
      <c r="V33" s="17">
        <f>'前提'!$B$31</f>
        <v>100000</v>
      </c>
      <c r="W33" s="17">
        <f>'前提'!$B$31</f>
        <v>100000</v>
      </c>
      <c r="X33" s="17">
        <f>'前提'!$B$31</f>
        <v>100000</v>
      </c>
      <c r="Y33" s="17">
        <f>'前提'!$B$31</f>
        <v>100000</v>
      </c>
      <c r="Z33" s="17">
        <f>'前提'!$B$31</f>
        <v>100000</v>
      </c>
      <c r="AA33" s="17">
        <f>'前提'!$B$31</f>
        <v>100000</v>
      </c>
      <c r="AB33" s="17">
        <f>'前提'!$B$31</f>
        <v>100000</v>
      </c>
      <c r="AC33" s="17">
        <f>'前提'!$B$31</f>
        <v>100000</v>
      </c>
      <c r="AD33" s="17">
        <f>'前提'!$B$31</f>
        <v>100000</v>
      </c>
      <c r="AE33" s="17">
        <f>'前提'!$B$31</f>
        <v>100000</v>
      </c>
      <c r="AF33" s="17">
        <f>'前提'!$B$31</f>
        <v>100000</v>
      </c>
      <c r="AG33" s="17">
        <f>'前提'!$B$31</f>
        <v>100000</v>
      </c>
      <c r="AH33" s="17">
        <f>'前提'!$B$31</f>
        <v>100000</v>
      </c>
      <c r="AI33" s="17">
        <f>'前提'!$B$31</f>
        <v>100000</v>
      </c>
      <c r="AJ33" s="17">
        <f>'前提'!$B$31</f>
        <v>100000</v>
      </c>
      <c r="AK33" s="17">
        <f>'前提'!$B$31</f>
        <v>100000</v>
      </c>
      <c r="AL33" s="17">
        <f>'前提'!$B$31</f>
        <v>100000</v>
      </c>
      <c r="AM33" s="17">
        <f>'前提'!$B$31</f>
        <v>100000</v>
      </c>
      <c r="AN33" s="17">
        <f>'前提'!$B$31</f>
        <v>100000</v>
      </c>
      <c r="AO33" s="17">
        <f>'前提'!$B$31</f>
        <v>100000</v>
      </c>
      <c r="AP33" s="17">
        <f>'前提'!$B$31</f>
        <v>100000</v>
      </c>
      <c r="AQ33" s="17">
        <f>'前提'!$B$31</f>
        <v>100000</v>
      </c>
      <c r="AR33" s="17">
        <f>'前提'!$B$31</f>
        <v>100000</v>
      </c>
      <c r="AS33" s="17">
        <f>'前提'!$B$31</f>
        <v>100000</v>
      </c>
      <c r="AT33" s="17">
        <f>'前提'!$B$31</f>
        <v>100000</v>
      </c>
      <c r="AU33" s="17">
        <f>'前提'!$B$31</f>
        <v>100000</v>
      </c>
      <c r="AV33" s="17">
        <f>'前提'!$B$31</f>
        <v>100000</v>
      </c>
      <c r="AW33" s="17">
        <f>'前提'!$B$31</f>
        <v>100000</v>
      </c>
      <c r="AX33" s="17">
        <f>'前提'!$B$31</f>
        <v>100000</v>
      </c>
      <c r="AY33" s="17">
        <f>'前提'!$B$31</f>
        <v>100000</v>
      </c>
      <c r="AZ33" s="17">
        <f>'前提'!$B$31</f>
        <v>100000</v>
      </c>
      <c r="BA33" s="17">
        <f>'前提'!$B$31</f>
        <v>100000</v>
      </c>
      <c r="BB33" s="17">
        <f>'前提'!$B$31</f>
        <v>100000</v>
      </c>
      <c r="BC33" s="17">
        <f>'前提'!$B$31</f>
        <v>100000</v>
      </c>
      <c r="BD33" s="17">
        <f>'前提'!$B$31</f>
        <v>100000</v>
      </c>
      <c r="BE33" s="17">
        <f>'前提'!$B$31</f>
        <v>100000</v>
      </c>
      <c r="BF33" s="17">
        <f>'前提'!$B$31</f>
        <v>100000</v>
      </c>
      <c r="BG33" s="17">
        <f>'前提'!$B$31</f>
        <v>100000</v>
      </c>
      <c r="BH33" s="17">
        <f>'前提'!$B$31</f>
        <v>100000</v>
      </c>
      <c r="BI33" s="17">
        <f>'前提'!$B$31</f>
        <v>100000</v>
      </c>
    </row>
    <row r="34" ht="15.75" customHeight="1">
      <c r="A34" s="9" t="s">
        <v>43</v>
      </c>
      <c r="B34" s="17">
        <f>'前提'!$B$32</f>
        <v>200000</v>
      </c>
      <c r="C34" s="17">
        <f>'前提'!$B$32</f>
        <v>200000</v>
      </c>
      <c r="D34" s="17">
        <f>'前提'!$B$32</f>
        <v>200000</v>
      </c>
      <c r="E34" s="17">
        <f>'前提'!$B$32</f>
        <v>200000</v>
      </c>
      <c r="F34" s="17">
        <f>'前提'!$B$32</f>
        <v>200000</v>
      </c>
      <c r="G34" s="17">
        <f>'前提'!$B$32</f>
        <v>200000</v>
      </c>
      <c r="H34" s="17">
        <f>'前提'!$B$32</f>
        <v>200000</v>
      </c>
      <c r="I34" s="17">
        <f>'前提'!$B$32</f>
        <v>200000</v>
      </c>
      <c r="J34" s="17">
        <f>'前提'!$B$32</f>
        <v>200000</v>
      </c>
      <c r="K34" s="17">
        <f>'前提'!$B$32</f>
        <v>200000</v>
      </c>
      <c r="L34" s="17">
        <f>'前提'!$B$32</f>
        <v>200000</v>
      </c>
      <c r="M34" s="17">
        <f>'前提'!$B$32</f>
        <v>200000</v>
      </c>
      <c r="N34" s="17">
        <f>'前提'!$B$32</f>
        <v>200000</v>
      </c>
      <c r="O34" s="17">
        <f>'前提'!$B$32</f>
        <v>200000</v>
      </c>
      <c r="P34" s="17">
        <f>'前提'!$B$32</f>
        <v>200000</v>
      </c>
      <c r="Q34" s="17">
        <f>'前提'!$B$32</f>
        <v>200000</v>
      </c>
      <c r="R34" s="17">
        <f>'前提'!$B$32</f>
        <v>200000</v>
      </c>
      <c r="S34" s="17">
        <f>'前提'!$B$32</f>
        <v>200000</v>
      </c>
      <c r="T34" s="17">
        <f>'前提'!$B$32</f>
        <v>200000</v>
      </c>
      <c r="U34" s="17">
        <f>'前提'!$B$32</f>
        <v>200000</v>
      </c>
      <c r="V34" s="17">
        <f>'前提'!$B$32</f>
        <v>200000</v>
      </c>
      <c r="W34" s="17">
        <f>'前提'!$B$32</f>
        <v>200000</v>
      </c>
      <c r="X34" s="17">
        <f>'前提'!$B$32</f>
        <v>200000</v>
      </c>
      <c r="Y34" s="17">
        <f>'前提'!$B$32</f>
        <v>200000</v>
      </c>
      <c r="Z34" s="17">
        <f>'前提'!$B$32</f>
        <v>200000</v>
      </c>
      <c r="AA34" s="17">
        <f>'前提'!$B$32</f>
        <v>200000</v>
      </c>
      <c r="AB34" s="17">
        <f>'前提'!$B$32</f>
        <v>200000</v>
      </c>
      <c r="AC34" s="17">
        <f>'前提'!$B$32</f>
        <v>200000</v>
      </c>
      <c r="AD34" s="17">
        <f>'前提'!$B$32</f>
        <v>200000</v>
      </c>
      <c r="AE34" s="17">
        <f>'前提'!$B$32</f>
        <v>200000</v>
      </c>
      <c r="AF34" s="17">
        <f>'前提'!$B$32</f>
        <v>200000</v>
      </c>
      <c r="AG34" s="17">
        <f>'前提'!$B$32</f>
        <v>200000</v>
      </c>
      <c r="AH34" s="17">
        <f>'前提'!$B$32</f>
        <v>200000</v>
      </c>
      <c r="AI34" s="17">
        <f>'前提'!$B$32</f>
        <v>200000</v>
      </c>
      <c r="AJ34" s="17">
        <f>'前提'!$B$32</f>
        <v>200000</v>
      </c>
      <c r="AK34" s="17">
        <f>'前提'!$B$32</f>
        <v>200000</v>
      </c>
      <c r="AL34" s="17">
        <f>'前提'!$B$32</f>
        <v>200000</v>
      </c>
      <c r="AM34" s="17">
        <f>'前提'!$B$32</f>
        <v>200000</v>
      </c>
      <c r="AN34" s="17">
        <f>'前提'!$B$32</f>
        <v>200000</v>
      </c>
      <c r="AO34" s="17">
        <f>'前提'!$B$32</f>
        <v>200000</v>
      </c>
      <c r="AP34" s="17">
        <f>'前提'!$B$32</f>
        <v>200000</v>
      </c>
      <c r="AQ34" s="17">
        <f>'前提'!$B$32</f>
        <v>200000</v>
      </c>
      <c r="AR34" s="17">
        <f>'前提'!$B$32</f>
        <v>200000</v>
      </c>
      <c r="AS34" s="17">
        <f>'前提'!$B$32</f>
        <v>200000</v>
      </c>
      <c r="AT34" s="17">
        <f>'前提'!$B$32</f>
        <v>200000</v>
      </c>
      <c r="AU34" s="17">
        <f>'前提'!$B$32</f>
        <v>200000</v>
      </c>
      <c r="AV34" s="17">
        <f>'前提'!$B$32</f>
        <v>200000</v>
      </c>
      <c r="AW34" s="17">
        <f>'前提'!$B$32</f>
        <v>200000</v>
      </c>
      <c r="AX34" s="17">
        <f>'前提'!$B$32</f>
        <v>200000</v>
      </c>
      <c r="AY34" s="17">
        <f>'前提'!$B$32</f>
        <v>200000</v>
      </c>
      <c r="AZ34" s="17">
        <f>'前提'!$B$32</f>
        <v>200000</v>
      </c>
      <c r="BA34" s="17">
        <f>'前提'!$B$32</f>
        <v>200000</v>
      </c>
      <c r="BB34" s="17">
        <f>'前提'!$B$32</f>
        <v>200000</v>
      </c>
      <c r="BC34" s="17">
        <f>'前提'!$B$32</f>
        <v>200000</v>
      </c>
      <c r="BD34" s="17">
        <f>'前提'!$B$32</f>
        <v>200000</v>
      </c>
      <c r="BE34" s="17">
        <f>'前提'!$B$32</f>
        <v>200000</v>
      </c>
      <c r="BF34" s="17">
        <f>'前提'!$B$32</f>
        <v>200000</v>
      </c>
      <c r="BG34" s="17">
        <f>'前提'!$B$32</f>
        <v>200000</v>
      </c>
      <c r="BH34" s="17">
        <f>'前提'!$B$32</f>
        <v>200000</v>
      </c>
      <c r="BI34" s="17">
        <f>'前提'!$B$32</f>
        <v>200000</v>
      </c>
    </row>
    <row r="35" ht="15.75" customHeight="1">
      <c r="A35" s="20" t="s">
        <v>196</v>
      </c>
      <c r="B35" s="21">
        <f t="shared" ref="B35:BI35" si="7">SUM(B25:B34)</f>
        <v>1132512</v>
      </c>
      <c r="C35" s="21">
        <f t="shared" si="7"/>
        <v>1132536</v>
      </c>
      <c r="D35" s="21">
        <f t="shared" si="7"/>
        <v>1132560</v>
      </c>
      <c r="E35" s="21">
        <f t="shared" si="7"/>
        <v>1132584</v>
      </c>
      <c r="F35" s="21">
        <f t="shared" si="7"/>
        <v>1132608</v>
      </c>
      <c r="G35" s="21">
        <f t="shared" si="7"/>
        <v>1132632</v>
      </c>
      <c r="H35" s="21">
        <f t="shared" si="7"/>
        <v>2160192</v>
      </c>
      <c r="I35" s="21">
        <f t="shared" si="7"/>
        <v>2160264</v>
      </c>
      <c r="J35" s="21">
        <f t="shared" si="7"/>
        <v>2160336</v>
      </c>
      <c r="K35" s="21">
        <f t="shared" si="7"/>
        <v>2510408</v>
      </c>
      <c r="L35" s="21">
        <f t="shared" si="7"/>
        <v>2510480</v>
      </c>
      <c r="M35" s="21">
        <f t="shared" si="7"/>
        <v>2510564</v>
      </c>
      <c r="N35" s="21">
        <f t="shared" si="7"/>
        <v>3820648</v>
      </c>
      <c r="O35" s="21">
        <f t="shared" si="7"/>
        <v>3820732</v>
      </c>
      <c r="P35" s="21">
        <f t="shared" si="7"/>
        <v>3820804</v>
      </c>
      <c r="Q35" s="21">
        <f t="shared" si="7"/>
        <v>3820876</v>
      </c>
      <c r="R35" s="21">
        <f t="shared" si="7"/>
        <v>4170960</v>
      </c>
      <c r="S35" s="21">
        <f t="shared" si="7"/>
        <v>4171044</v>
      </c>
      <c r="T35" s="21">
        <f t="shared" si="7"/>
        <v>4771140</v>
      </c>
      <c r="U35" s="21">
        <f t="shared" si="7"/>
        <v>4771236</v>
      </c>
      <c r="V35" s="21">
        <f t="shared" si="7"/>
        <v>4771344</v>
      </c>
      <c r="W35" s="21">
        <f t="shared" si="7"/>
        <v>4771452</v>
      </c>
      <c r="X35" s="21">
        <f t="shared" si="7"/>
        <v>5121560</v>
      </c>
      <c r="Y35" s="21">
        <f t="shared" si="7"/>
        <v>5121668</v>
      </c>
      <c r="Z35" s="21">
        <f t="shared" si="7"/>
        <v>6821812</v>
      </c>
      <c r="AA35" s="21">
        <f t="shared" si="7"/>
        <v>6821944</v>
      </c>
      <c r="AB35" s="21">
        <f t="shared" si="7"/>
        <v>6822076</v>
      </c>
      <c r="AC35" s="21">
        <f t="shared" si="7"/>
        <v>7172220</v>
      </c>
      <c r="AD35" s="21">
        <f t="shared" si="7"/>
        <v>7172364</v>
      </c>
      <c r="AE35" s="21">
        <f t="shared" si="7"/>
        <v>7192508</v>
      </c>
      <c r="AF35" s="21">
        <f t="shared" si="7"/>
        <v>7192664</v>
      </c>
      <c r="AG35" s="21">
        <f t="shared" si="7"/>
        <v>7192820</v>
      </c>
      <c r="AH35" s="21">
        <f t="shared" si="7"/>
        <v>7542976</v>
      </c>
      <c r="AI35" s="21">
        <f t="shared" si="7"/>
        <v>7543120</v>
      </c>
      <c r="AJ35" s="21">
        <f t="shared" si="7"/>
        <v>7543264</v>
      </c>
      <c r="AK35" s="21">
        <f t="shared" si="7"/>
        <v>7543408</v>
      </c>
      <c r="AL35" s="21">
        <f t="shared" si="7"/>
        <v>8343576</v>
      </c>
      <c r="AM35" s="21">
        <f t="shared" si="7"/>
        <v>8693756</v>
      </c>
      <c r="AN35" s="21">
        <f t="shared" si="7"/>
        <v>8693936</v>
      </c>
      <c r="AO35" s="21">
        <f t="shared" si="7"/>
        <v>8694116</v>
      </c>
      <c r="AP35" s="21">
        <f t="shared" si="7"/>
        <v>8694308</v>
      </c>
      <c r="AQ35" s="21">
        <f t="shared" si="7"/>
        <v>8694488</v>
      </c>
      <c r="AR35" s="21">
        <f t="shared" si="7"/>
        <v>9044668</v>
      </c>
      <c r="AS35" s="21">
        <f t="shared" si="7"/>
        <v>9044860</v>
      </c>
      <c r="AT35" s="21">
        <f t="shared" si="7"/>
        <v>9045052</v>
      </c>
      <c r="AU35" s="21">
        <f t="shared" si="7"/>
        <v>9045244</v>
      </c>
      <c r="AV35" s="21">
        <f t="shared" si="7"/>
        <v>9045424</v>
      </c>
      <c r="AW35" s="21">
        <f t="shared" si="7"/>
        <v>9395616</v>
      </c>
      <c r="AX35" s="21">
        <f t="shared" si="7"/>
        <v>10195832</v>
      </c>
      <c r="AY35" s="21">
        <f t="shared" si="7"/>
        <v>10196036</v>
      </c>
      <c r="AZ35" s="21">
        <f t="shared" si="7"/>
        <v>10196252</v>
      </c>
      <c r="BA35" s="21">
        <f t="shared" si="7"/>
        <v>10546468</v>
      </c>
      <c r="BB35" s="21">
        <f t="shared" si="7"/>
        <v>10546696</v>
      </c>
      <c r="BC35" s="21">
        <f t="shared" si="7"/>
        <v>10546924</v>
      </c>
      <c r="BD35" s="21">
        <f t="shared" si="7"/>
        <v>10547152</v>
      </c>
      <c r="BE35" s="21">
        <f t="shared" si="7"/>
        <v>10897380</v>
      </c>
      <c r="BF35" s="21">
        <f t="shared" si="7"/>
        <v>10897596</v>
      </c>
      <c r="BG35" s="21">
        <f t="shared" si="7"/>
        <v>10897812</v>
      </c>
      <c r="BH35" s="21">
        <f t="shared" si="7"/>
        <v>10898028</v>
      </c>
      <c r="BI35" s="21">
        <f t="shared" si="7"/>
        <v>10898256</v>
      </c>
    </row>
    <row r="36" ht="15.75" customHeight="1"/>
    <row r="37" ht="15.75" customHeight="1">
      <c r="A37" s="2" t="s">
        <v>197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</row>
    <row r="38" ht="15.75" customHeight="1">
      <c r="A38" s="15" t="s">
        <v>198</v>
      </c>
      <c r="B38" s="22">
        <f t="shared" ref="B38:BI38" si="8">B22-B35</f>
        <v>-1121012</v>
      </c>
      <c r="C38" s="22">
        <f t="shared" si="8"/>
        <v>-648036</v>
      </c>
      <c r="D38" s="22">
        <f t="shared" si="8"/>
        <v>-625060</v>
      </c>
      <c r="E38" s="22">
        <f t="shared" si="8"/>
        <v>-602084</v>
      </c>
      <c r="F38" s="22">
        <f t="shared" si="8"/>
        <v>-579108</v>
      </c>
      <c r="G38" s="22">
        <f t="shared" si="8"/>
        <v>-556132</v>
      </c>
      <c r="H38" s="22">
        <f t="shared" si="8"/>
        <v>-851192</v>
      </c>
      <c r="I38" s="22">
        <f t="shared" si="8"/>
        <v>-643764</v>
      </c>
      <c r="J38" s="22">
        <f t="shared" si="8"/>
        <v>-436336</v>
      </c>
      <c r="K38" s="22">
        <f t="shared" si="8"/>
        <v>-578908</v>
      </c>
      <c r="L38" s="22">
        <f t="shared" si="8"/>
        <v>-371480</v>
      </c>
      <c r="M38" s="22">
        <f t="shared" si="8"/>
        <v>-14064</v>
      </c>
      <c r="N38" s="22">
        <f t="shared" si="8"/>
        <v>-566648</v>
      </c>
      <c r="O38" s="22">
        <f t="shared" si="8"/>
        <v>-109232</v>
      </c>
      <c r="P38" s="22">
        <f t="shared" si="8"/>
        <v>336696</v>
      </c>
      <c r="Q38" s="22">
        <f t="shared" si="8"/>
        <v>782624</v>
      </c>
      <c r="R38" s="22">
        <f t="shared" si="8"/>
        <v>1078540</v>
      </c>
      <c r="S38" s="22">
        <f t="shared" si="8"/>
        <v>1724456</v>
      </c>
      <c r="T38" s="22">
        <f t="shared" si="8"/>
        <v>2006860</v>
      </c>
      <c r="U38" s="22">
        <f t="shared" si="8"/>
        <v>2664264</v>
      </c>
      <c r="V38" s="22">
        <f t="shared" si="8"/>
        <v>3521656</v>
      </c>
      <c r="W38" s="22">
        <f t="shared" si="8"/>
        <v>4379048</v>
      </c>
      <c r="X38" s="22">
        <f t="shared" si="8"/>
        <v>4886440</v>
      </c>
      <c r="Y38" s="22">
        <f t="shared" si="8"/>
        <v>5743832</v>
      </c>
      <c r="Z38" s="22">
        <f t="shared" si="8"/>
        <v>5574188</v>
      </c>
      <c r="AA38" s="22">
        <f t="shared" si="8"/>
        <v>6643056</v>
      </c>
      <c r="AB38" s="22">
        <f t="shared" si="8"/>
        <v>7711924</v>
      </c>
      <c r="AC38" s="22">
        <f t="shared" si="8"/>
        <v>8630780</v>
      </c>
      <c r="AD38" s="22">
        <f t="shared" si="8"/>
        <v>9899636</v>
      </c>
      <c r="AE38" s="22">
        <f t="shared" si="8"/>
        <v>11148492</v>
      </c>
      <c r="AF38" s="22">
        <f t="shared" si="8"/>
        <v>12617336</v>
      </c>
      <c r="AG38" s="22">
        <f t="shared" si="8"/>
        <v>14086180</v>
      </c>
      <c r="AH38" s="22">
        <f t="shared" si="8"/>
        <v>15205024</v>
      </c>
      <c r="AI38" s="22">
        <f t="shared" si="8"/>
        <v>16662380</v>
      </c>
      <c r="AJ38" s="22">
        <f t="shared" si="8"/>
        <v>18119736</v>
      </c>
      <c r="AK38" s="22">
        <f t="shared" si="8"/>
        <v>19577092</v>
      </c>
      <c r="AL38" s="22">
        <f t="shared" si="8"/>
        <v>20707424</v>
      </c>
      <c r="AM38" s="22">
        <f t="shared" si="8"/>
        <v>22037744</v>
      </c>
      <c r="AN38" s="22">
        <f t="shared" si="8"/>
        <v>23718064</v>
      </c>
      <c r="AO38" s="22">
        <f t="shared" si="8"/>
        <v>25398384</v>
      </c>
      <c r="AP38" s="22">
        <f t="shared" si="8"/>
        <v>27278692</v>
      </c>
      <c r="AQ38" s="22">
        <f t="shared" si="8"/>
        <v>29147512</v>
      </c>
      <c r="AR38" s="22">
        <f t="shared" si="8"/>
        <v>30666332</v>
      </c>
      <c r="AS38" s="22">
        <f t="shared" si="8"/>
        <v>32735140</v>
      </c>
      <c r="AT38" s="22">
        <f t="shared" si="8"/>
        <v>34803948</v>
      </c>
      <c r="AU38" s="22">
        <f t="shared" si="8"/>
        <v>36872756</v>
      </c>
      <c r="AV38" s="22">
        <f t="shared" si="8"/>
        <v>38741576</v>
      </c>
      <c r="AW38" s="22">
        <f t="shared" si="8"/>
        <v>40460384</v>
      </c>
      <c r="AX38" s="22">
        <f t="shared" si="8"/>
        <v>42202168</v>
      </c>
      <c r="AY38" s="22">
        <f t="shared" si="8"/>
        <v>44282464</v>
      </c>
      <c r="AZ38" s="22">
        <f t="shared" si="8"/>
        <v>46562748</v>
      </c>
      <c r="BA38" s="22">
        <f t="shared" si="8"/>
        <v>48493032</v>
      </c>
      <c r="BB38" s="22">
        <f t="shared" si="8"/>
        <v>50973304</v>
      </c>
      <c r="BC38" s="22">
        <f t="shared" si="8"/>
        <v>53453576</v>
      </c>
      <c r="BD38" s="22">
        <f t="shared" si="8"/>
        <v>55933848</v>
      </c>
      <c r="BE38" s="22">
        <f t="shared" si="8"/>
        <v>58064120</v>
      </c>
      <c r="BF38" s="22">
        <f t="shared" si="8"/>
        <v>60532904</v>
      </c>
      <c r="BG38" s="22">
        <f t="shared" si="8"/>
        <v>63001688</v>
      </c>
      <c r="BH38" s="22">
        <f t="shared" si="8"/>
        <v>65470472</v>
      </c>
      <c r="BI38" s="22">
        <f t="shared" si="8"/>
        <v>68139244</v>
      </c>
    </row>
    <row r="39" ht="15.75" customHeight="1">
      <c r="A39" s="9" t="s">
        <v>199</v>
      </c>
      <c r="B39" s="23">
        <f t="shared" ref="B39:BI39" si="9">IF(B22&lt;&gt;0,B38/B22,0)</f>
        <v>-97.47930435</v>
      </c>
      <c r="C39" s="23">
        <f t="shared" si="9"/>
        <v>-1.337535604</v>
      </c>
      <c r="D39" s="23">
        <f t="shared" si="9"/>
        <v>-1.23164532</v>
      </c>
      <c r="E39" s="23">
        <f t="shared" si="9"/>
        <v>-1.134936852</v>
      </c>
      <c r="F39" s="23">
        <f t="shared" si="9"/>
        <v>-1.046265583</v>
      </c>
      <c r="G39" s="23">
        <f t="shared" si="9"/>
        <v>-0.9646695577</v>
      </c>
      <c r="H39" s="23">
        <f t="shared" si="9"/>
        <v>-0.6502612681</v>
      </c>
      <c r="I39" s="23">
        <f t="shared" si="9"/>
        <v>-0.4245064293</v>
      </c>
      <c r="J39" s="23">
        <f t="shared" si="9"/>
        <v>-0.2530951276</v>
      </c>
      <c r="K39" s="23">
        <f t="shared" si="9"/>
        <v>-0.2997193891</v>
      </c>
      <c r="L39" s="23">
        <f t="shared" si="9"/>
        <v>-0.1736699392</v>
      </c>
      <c r="M39" s="23">
        <f t="shared" si="9"/>
        <v>-0.005633486882</v>
      </c>
      <c r="N39" s="23">
        <f t="shared" si="9"/>
        <v>-0.174138906</v>
      </c>
      <c r="O39" s="23">
        <f t="shared" si="9"/>
        <v>-0.0294306884</v>
      </c>
      <c r="P39" s="23">
        <f t="shared" si="9"/>
        <v>0.08098520746</v>
      </c>
      <c r="Q39" s="23">
        <f t="shared" si="9"/>
        <v>0.1700062996</v>
      </c>
      <c r="R39" s="23">
        <f t="shared" si="9"/>
        <v>0.2054557577</v>
      </c>
      <c r="S39" s="23">
        <f t="shared" si="9"/>
        <v>0.2925037741</v>
      </c>
      <c r="T39" s="23">
        <f t="shared" si="9"/>
        <v>0.2960843907</v>
      </c>
      <c r="U39" s="23">
        <f t="shared" si="9"/>
        <v>0.3583167238</v>
      </c>
      <c r="V39" s="23">
        <f t="shared" si="9"/>
        <v>0.4246540456</v>
      </c>
      <c r="W39" s="23">
        <f t="shared" si="9"/>
        <v>0.4785583301</v>
      </c>
      <c r="X39" s="23">
        <f t="shared" si="9"/>
        <v>0.4882533973</v>
      </c>
      <c r="Y39" s="23">
        <f t="shared" si="9"/>
        <v>0.5286302517</v>
      </c>
      <c r="Z39" s="23">
        <f t="shared" si="9"/>
        <v>0.4496763472</v>
      </c>
      <c r="AA39" s="23">
        <f t="shared" si="9"/>
        <v>0.4933572967</v>
      </c>
      <c r="AB39" s="23">
        <f t="shared" si="9"/>
        <v>0.5306126324</v>
      </c>
      <c r="AC39" s="23">
        <f t="shared" si="9"/>
        <v>0.5461481997</v>
      </c>
      <c r="AD39" s="23">
        <f t="shared" si="9"/>
        <v>0.5798755858</v>
      </c>
      <c r="AE39" s="23">
        <f t="shared" si="9"/>
        <v>0.6078453738</v>
      </c>
      <c r="AF39" s="23">
        <f t="shared" si="9"/>
        <v>0.6369175164</v>
      </c>
      <c r="AG39" s="23">
        <f t="shared" si="9"/>
        <v>0.6619756568</v>
      </c>
      <c r="AH39" s="23">
        <f t="shared" si="9"/>
        <v>0.6684114647</v>
      </c>
      <c r="AI39" s="23">
        <f t="shared" si="9"/>
        <v>0.6883716511</v>
      </c>
      <c r="AJ39" s="23">
        <f t="shared" si="9"/>
        <v>0.7060646066</v>
      </c>
      <c r="AK39" s="23">
        <f t="shared" si="9"/>
        <v>0.7218558655</v>
      </c>
      <c r="AL39" s="23">
        <f t="shared" si="9"/>
        <v>0.7127955664</v>
      </c>
      <c r="AM39" s="23">
        <f t="shared" si="9"/>
        <v>0.7171060313</v>
      </c>
      <c r="AN39" s="23">
        <f t="shared" si="9"/>
        <v>0.7317679872</v>
      </c>
      <c r="AO39" s="23">
        <f t="shared" si="9"/>
        <v>0.7449844981</v>
      </c>
      <c r="AP39" s="23">
        <f t="shared" si="9"/>
        <v>0.7583101771</v>
      </c>
      <c r="AQ39" s="23">
        <f t="shared" si="9"/>
        <v>0.7702423762</v>
      </c>
      <c r="AR39" s="23">
        <f t="shared" si="9"/>
        <v>0.7722377175</v>
      </c>
      <c r="AS39" s="23">
        <f t="shared" si="9"/>
        <v>0.7835122068</v>
      </c>
      <c r="AT39" s="23">
        <f t="shared" si="9"/>
        <v>0.7937227303</v>
      </c>
      <c r="AU39" s="23">
        <f t="shared" si="9"/>
        <v>0.8030131103</v>
      </c>
      <c r="AV39" s="23">
        <f t="shared" si="9"/>
        <v>0.8107137087</v>
      </c>
      <c r="AW39" s="23">
        <f t="shared" si="9"/>
        <v>0.8115449294</v>
      </c>
      <c r="AX39" s="23">
        <f t="shared" si="9"/>
        <v>0.8054156266</v>
      </c>
      <c r="AY39" s="23">
        <f t="shared" si="9"/>
        <v>0.812842938</v>
      </c>
      <c r="AZ39" s="23">
        <f t="shared" si="9"/>
        <v>0.8203588506</v>
      </c>
      <c r="BA39" s="23">
        <f t="shared" si="9"/>
        <v>0.8213658991</v>
      </c>
      <c r="BB39" s="23">
        <f t="shared" si="9"/>
        <v>0.8285647594</v>
      </c>
      <c r="BC39" s="23">
        <f t="shared" si="9"/>
        <v>0.8352056</v>
      </c>
      <c r="BD39" s="23">
        <f t="shared" si="9"/>
        <v>0.8413508822</v>
      </c>
      <c r="BE39" s="23">
        <f t="shared" si="9"/>
        <v>0.8419787853</v>
      </c>
      <c r="BF39" s="23">
        <f t="shared" si="9"/>
        <v>0.8474377752</v>
      </c>
      <c r="BG39" s="23">
        <f t="shared" si="9"/>
        <v>0.8525319928</v>
      </c>
      <c r="BH39" s="23">
        <f t="shared" si="9"/>
        <v>0.8572968174</v>
      </c>
      <c r="BI39" s="23">
        <f t="shared" si="9"/>
        <v>0.8621128452</v>
      </c>
    </row>
    <row r="40" ht="15.75" customHeight="1">
      <c r="A40" s="15" t="s">
        <v>200</v>
      </c>
      <c r="B40" s="22">
        <f>B38</f>
        <v>-1121012</v>
      </c>
      <c r="C40" s="22">
        <f t="shared" ref="C40:BI40" si="10">B40+C38</f>
        <v>-1769048</v>
      </c>
      <c r="D40" s="22">
        <f t="shared" si="10"/>
        <v>-2394108</v>
      </c>
      <c r="E40" s="22">
        <f t="shared" si="10"/>
        <v>-2996192</v>
      </c>
      <c r="F40" s="22">
        <f t="shared" si="10"/>
        <v>-3575300</v>
      </c>
      <c r="G40" s="22">
        <f t="shared" si="10"/>
        <v>-4131432</v>
      </c>
      <c r="H40" s="22">
        <f t="shared" si="10"/>
        <v>-4982624</v>
      </c>
      <c r="I40" s="22">
        <f t="shared" si="10"/>
        <v>-5626388</v>
      </c>
      <c r="J40" s="22">
        <f t="shared" si="10"/>
        <v>-6062724</v>
      </c>
      <c r="K40" s="22">
        <f t="shared" si="10"/>
        <v>-6641632</v>
      </c>
      <c r="L40" s="22">
        <f t="shared" si="10"/>
        <v>-7013112</v>
      </c>
      <c r="M40" s="22">
        <f t="shared" si="10"/>
        <v>-7027176</v>
      </c>
      <c r="N40" s="22">
        <f t="shared" si="10"/>
        <v>-7593824</v>
      </c>
      <c r="O40" s="22">
        <f t="shared" si="10"/>
        <v>-7703056</v>
      </c>
      <c r="P40" s="22">
        <f t="shared" si="10"/>
        <v>-7366360</v>
      </c>
      <c r="Q40" s="22">
        <f t="shared" si="10"/>
        <v>-6583736</v>
      </c>
      <c r="R40" s="22">
        <f t="shared" si="10"/>
        <v>-5505196</v>
      </c>
      <c r="S40" s="22">
        <f t="shared" si="10"/>
        <v>-3780740</v>
      </c>
      <c r="T40" s="22">
        <f t="shared" si="10"/>
        <v>-1773880</v>
      </c>
      <c r="U40" s="22">
        <f t="shared" si="10"/>
        <v>890384</v>
      </c>
      <c r="V40" s="22">
        <f t="shared" si="10"/>
        <v>4412040</v>
      </c>
      <c r="W40" s="22">
        <f t="shared" si="10"/>
        <v>8791088</v>
      </c>
      <c r="X40" s="22">
        <f t="shared" si="10"/>
        <v>13677528</v>
      </c>
      <c r="Y40" s="22">
        <f t="shared" si="10"/>
        <v>19421360</v>
      </c>
      <c r="Z40" s="22">
        <f t="shared" si="10"/>
        <v>24995548</v>
      </c>
      <c r="AA40" s="22">
        <f t="shared" si="10"/>
        <v>31638604</v>
      </c>
      <c r="AB40" s="22">
        <f t="shared" si="10"/>
        <v>39350528</v>
      </c>
      <c r="AC40" s="22">
        <f t="shared" si="10"/>
        <v>47981308</v>
      </c>
      <c r="AD40" s="22">
        <f t="shared" si="10"/>
        <v>57880944</v>
      </c>
      <c r="AE40" s="22">
        <f t="shared" si="10"/>
        <v>69029436</v>
      </c>
      <c r="AF40" s="22">
        <f t="shared" si="10"/>
        <v>81646772</v>
      </c>
      <c r="AG40" s="22">
        <f t="shared" si="10"/>
        <v>95732952</v>
      </c>
      <c r="AH40" s="22">
        <f t="shared" si="10"/>
        <v>110937976</v>
      </c>
      <c r="AI40" s="22">
        <f t="shared" si="10"/>
        <v>127600356</v>
      </c>
      <c r="AJ40" s="22">
        <f t="shared" si="10"/>
        <v>145720092</v>
      </c>
      <c r="AK40" s="22">
        <f t="shared" si="10"/>
        <v>165297184</v>
      </c>
      <c r="AL40" s="22">
        <f t="shared" si="10"/>
        <v>186004608</v>
      </c>
      <c r="AM40" s="22">
        <f t="shared" si="10"/>
        <v>208042352</v>
      </c>
      <c r="AN40" s="22">
        <f t="shared" si="10"/>
        <v>231760416</v>
      </c>
      <c r="AO40" s="22">
        <f t="shared" si="10"/>
        <v>257158800</v>
      </c>
      <c r="AP40" s="22">
        <f t="shared" si="10"/>
        <v>284437492</v>
      </c>
      <c r="AQ40" s="22">
        <f t="shared" si="10"/>
        <v>313585004</v>
      </c>
      <c r="AR40" s="22">
        <f t="shared" si="10"/>
        <v>344251336</v>
      </c>
      <c r="AS40" s="22">
        <f t="shared" si="10"/>
        <v>376986476</v>
      </c>
      <c r="AT40" s="22">
        <f t="shared" si="10"/>
        <v>411790424</v>
      </c>
      <c r="AU40" s="22">
        <f t="shared" si="10"/>
        <v>448663180</v>
      </c>
      <c r="AV40" s="22">
        <f t="shared" si="10"/>
        <v>487404756</v>
      </c>
      <c r="AW40" s="22">
        <f t="shared" si="10"/>
        <v>527865140</v>
      </c>
      <c r="AX40" s="22">
        <f t="shared" si="10"/>
        <v>570067308</v>
      </c>
      <c r="AY40" s="22">
        <f t="shared" si="10"/>
        <v>614349772</v>
      </c>
      <c r="AZ40" s="22">
        <f t="shared" si="10"/>
        <v>660912520</v>
      </c>
      <c r="BA40" s="22">
        <f t="shared" si="10"/>
        <v>709405552</v>
      </c>
      <c r="BB40" s="22">
        <f t="shared" si="10"/>
        <v>760378856</v>
      </c>
      <c r="BC40" s="22">
        <f t="shared" si="10"/>
        <v>813832432</v>
      </c>
      <c r="BD40" s="22">
        <f t="shared" si="10"/>
        <v>869766280</v>
      </c>
      <c r="BE40" s="22">
        <f t="shared" si="10"/>
        <v>927830400</v>
      </c>
      <c r="BF40" s="22">
        <f t="shared" si="10"/>
        <v>988363304</v>
      </c>
      <c r="BG40" s="22">
        <f t="shared" si="10"/>
        <v>1051364992</v>
      </c>
      <c r="BH40" s="22">
        <f t="shared" si="10"/>
        <v>1116835464</v>
      </c>
      <c r="BI40" s="22">
        <f t="shared" si="10"/>
        <v>1184974708</v>
      </c>
    </row>
    <row r="41" ht="15.75" customHeight="1">
      <c r="A41" s="3" t="s">
        <v>201</v>
      </c>
      <c r="B41" s="24">
        <f t="shared" ref="B41:BI41" si="11">B21-B35</f>
        <v>-1121012</v>
      </c>
      <c r="C41" s="24">
        <f t="shared" si="11"/>
        <v>-1098036</v>
      </c>
      <c r="D41" s="24">
        <f t="shared" si="11"/>
        <v>-1075060</v>
      </c>
      <c r="E41" s="24">
        <f t="shared" si="11"/>
        <v>-1052084</v>
      </c>
      <c r="F41" s="24">
        <f t="shared" si="11"/>
        <v>-1029108</v>
      </c>
      <c r="G41" s="24">
        <f t="shared" si="11"/>
        <v>-1006132</v>
      </c>
      <c r="H41" s="24">
        <f t="shared" si="11"/>
        <v>-1976192</v>
      </c>
      <c r="I41" s="24">
        <f t="shared" si="11"/>
        <v>-1768764</v>
      </c>
      <c r="J41" s="24">
        <f t="shared" si="11"/>
        <v>-1561336</v>
      </c>
      <c r="K41" s="24">
        <f t="shared" si="11"/>
        <v>-1703908</v>
      </c>
      <c r="L41" s="24">
        <f t="shared" si="11"/>
        <v>-1496480</v>
      </c>
      <c r="M41" s="24">
        <f t="shared" si="11"/>
        <v>-1139064</v>
      </c>
      <c r="N41" s="24">
        <f t="shared" si="11"/>
        <v>-1691648</v>
      </c>
      <c r="O41" s="24">
        <f t="shared" si="11"/>
        <v>-1234232</v>
      </c>
      <c r="P41" s="24">
        <f t="shared" si="11"/>
        <v>-788304</v>
      </c>
      <c r="Q41" s="24">
        <f t="shared" si="11"/>
        <v>-342376</v>
      </c>
      <c r="R41" s="24">
        <f t="shared" si="11"/>
        <v>-46460</v>
      </c>
      <c r="S41" s="24">
        <f t="shared" si="11"/>
        <v>599456</v>
      </c>
      <c r="T41" s="24">
        <f t="shared" si="11"/>
        <v>656860</v>
      </c>
      <c r="U41" s="24">
        <f t="shared" si="11"/>
        <v>1314264</v>
      </c>
      <c r="V41" s="24">
        <f t="shared" si="11"/>
        <v>2171656</v>
      </c>
      <c r="W41" s="24">
        <f t="shared" si="11"/>
        <v>3029048</v>
      </c>
      <c r="X41" s="24">
        <f t="shared" si="11"/>
        <v>3536440</v>
      </c>
      <c r="Y41" s="24">
        <f t="shared" si="11"/>
        <v>4393832</v>
      </c>
      <c r="Z41" s="24">
        <f t="shared" si="11"/>
        <v>3774188</v>
      </c>
      <c r="AA41" s="24">
        <f t="shared" si="11"/>
        <v>4843056</v>
      </c>
      <c r="AB41" s="24">
        <f t="shared" si="11"/>
        <v>5911924</v>
      </c>
      <c r="AC41" s="24">
        <f t="shared" si="11"/>
        <v>6830780</v>
      </c>
      <c r="AD41" s="24">
        <f t="shared" si="11"/>
        <v>8099636</v>
      </c>
      <c r="AE41" s="24">
        <f t="shared" si="11"/>
        <v>9348492</v>
      </c>
      <c r="AF41" s="24">
        <f t="shared" si="11"/>
        <v>10817336</v>
      </c>
      <c r="AG41" s="24">
        <f t="shared" si="11"/>
        <v>12286180</v>
      </c>
      <c r="AH41" s="24">
        <f t="shared" si="11"/>
        <v>13405024</v>
      </c>
      <c r="AI41" s="24">
        <f t="shared" si="11"/>
        <v>14862380</v>
      </c>
      <c r="AJ41" s="24">
        <f t="shared" si="11"/>
        <v>16319736</v>
      </c>
      <c r="AK41" s="24">
        <f t="shared" si="11"/>
        <v>17777092</v>
      </c>
      <c r="AL41" s="24">
        <f t="shared" si="11"/>
        <v>18457424</v>
      </c>
      <c r="AM41" s="24">
        <f t="shared" si="11"/>
        <v>19787744</v>
      </c>
      <c r="AN41" s="24">
        <f t="shared" si="11"/>
        <v>21468064</v>
      </c>
      <c r="AO41" s="24">
        <f t="shared" si="11"/>
        <v>23148384</v>
      </c>
      <c r="AP41" s="24">
        <f t="shared" si="11"/>
        <v>25028692</v>
      </c>
      <c r="AQ41" s="24">
        <f t="shared" si="11"/>
        <v>26897512</v>
      </c>
      <c r="AR41" s="24">
        <f t="shared" si="11"/>
        <v>28416332</v>
      </c>
      <c r="AS41" s="24">
        <f t="shared" si="11"/>
        <v>30485140</v>
      </c>
      <c r="AT41" s="24">
        <f t="shared" si="11"/>
        <v>32553948</v>
      </c>
      <c r="AU41" s="24">
        <f t="shared" si="11"/>
        <v>34622756</v>
      </c>
      <c r="AV41" s="24">
        <f t="shared" si="11"/>
        <v>36491576</v>
      </c>
      <c r="AW41" s="24">
        <f t="shared" si="11"/>
        <v>38210384</v>
      </c>
      <c r="AX41" s="24">
        <f t="shared" si="11"/>
        <v>39502168</v>
      </c>
      <c r="AY41" s="24">
        <f t="shared" si="11"/>
        <v>41582464</v>
      </c>
      <c r="AZ41" s="24">
        <f t="shared" si="11"/>
        <v>43862748</v>
      </c>
      <c r="BA41" s="24">
        <f t="shared" si="11"/>
        <v>45793032</v>
      </c>
      <c r="BB41" s="24">
        <f t="shared" si="11"/>
        <v>48273304</v>
      </c>
      <c r="BC41" s="24">
        <f t="shared" si="11"/>
        <v>50753576</v>
      </c>
      <c r="BD41" s="24">
        <f t="shared" si="11"/>
        <v>53233848</v>
      </c>
      <c r="BE41" s="24">
        <f t="shared" si="11"/>
        <v>55364120</v>
      </c>
      <c r="BF41" s="24">
        <f t="shared" si="11"/>
        <v>57832904</v>
      </c>
      <c r="BG41" s="24">
        <f t="shared" si="11"/>
        <v>60301688</v>
      </c>
      <c r="BH41" s="24">
        <f t="shared" si="11"/>
        <v>62770472</v>
      </c>
      <c r="BI41" s="24">
        <f t="shared" si="11"/>
        <v>65439244</v>
      </c>
    </row>
    <row r="42" ht="15.75" customHeight="1"/>
    <row r="43" ht="15.75" customHeight="1">
      <c r="A43" s="2" t="s">
        <v>202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</row>
    <row r="44" ht="15.75" customHeight="1">
      <c r="A44" s="9" t="s">
        <v>203</v>
      </c>
      <c r="B44" s="17">
        <f>'前提'!B77+'前提'!B78+'前提'!B79+'前提'!B80</f>
        <v>37500000</v>
      </c>
      <c r="C44" s="3">
        <v>0.0</v>
      </c>
      <c r="D44" s="3">
        <v>0.0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0.0</v>
      </c>
      <c r="AA44" s="3">
        <v>0.0</v>
      </c>
      <c r="AB44" s="3">
        <v>0.0</v>
      </c>
      <c r="AC44" s="3">
        <v>0.0</v>
      </c>
      <c r="AD44" s="3">
        <v>0.0</v>
      </c>
      <c r="AE44" s="3">
        <v>0.0</v>
      </c>
      <c r="AF44" s="3">
        <v>0.0</v>
      </c>
      <c r="AG44" s="3">
        <v>0.0</v>
      </c>
      <c r="AH44" s="3">
        <v>0.0</v>
      </c>
      <c r="AI44" s="3">
        <v>0.0</v>
      </c>
      <c r="AJ44" s="3">
        <v>0.0</v>
      </c>
      <c r="AK44" s="3">
        <v>0.0</v>
      </c>
      <c r="AL44" s="3">
        <v>0.0</v>
      </c>
      <c r="AM44" s="3">
        <v>0.0</v>
      </c>
      <c r="AN44" s="3">
        <v>0.0</v>
      </c>
      <c r="AO44" s="3">
        <v>0.0</v>
      </c>
      <c r="AP44" s="3">
        <v>0.0</v>
      </c>
      <c r="AQ44" s="3">
        <v>0.0</v>
      </c>
      <c r="AR44" s="3">
        <v>0.0</v>
      </c>
      <c r="AS44" s="3">
        <v>0.0</v>
      </c>
      <c r="AT44" s="3">
        <v>0.0</v>
      </c>
      <c r="AU44" s="3">
        <v>0.0</v>
      </c>
      <c r="AV44" s="3">
        <v>0.0</v>
      </c>
      <c r="AW44" s="3">
        <v>0.0</v>
      </c>
      <c r="AX44" s="3">
        <v>0.0</v>
      </c>
      <c r="AY44" s="3">
        <v>0.0</v>
      </c>
      <c r="AZ44" s="3">
        <v>0.0</v>
      </c>
      <c r="BA44" s="3">
        <v>0.0</v>
      </c>
      <c r="BB44" s="3">
        <v>0.0</v>
      </c>
      <c r="BC44" s="3">
        <v>0.0</v>
      </c>
      <c r="BD44" s="3">
        <v>0.0</v>
      </c>
      <c r="BE44" s="3">
        <v>0.0</v>
      </c>
      <c r="BF44" s="3">
        <v>0.0</v>
      </c>
      <c r="BG44" s="3">
        <v>0.0</v>
      </c>
      <c r="BH44" s="3">
        <v>0.0</v>
      </c>
      <c r="BI44" s="3">
        <v>0.0</v>
      </c>
    </row>
    <row r="45" ht="15.75" customHeight="1">
      <c r="A45" s="3" t="s">
        <v>204</v>
      </c>
      <c r="B45" s="17">
        <f>IF(1='前提'!$B$87,'前提'!$B$85,0)</f>
        <v>0</v>
      </c>
      <c r="C45" s="17">
        <f>IF(2='前提'!$B$87,'前提'!$B$85,0)</f>
        <v>0</v>
      </c>
      <c r="D45" s="17">
        <f>IF(3='前提'!$B$87,'前提'!$B$85,0)</f>
        <v>0</v>
      </c>
      <c r="E45" s="17">
        <f>IF(4='前提'!$B$87,'前提'!$B$85,0)</f>
        <v>0</v>
      </c>
      <c r="F45" s="17">
        <f>IF(5='前提'!$B$87,'前提'!$B$85,0)</f>
        <v>0</v>
      </c>
      <c r="G45" s="17">
        <f>IF(6='前提'!$B$87,'前提'!$B$85,0)</f>
        <v>0</v>
      </c>
      <c r="H45" s="17">
        <f>IF(7='前提'!$B$87,'前提'!$B$85,0)</f>
        <v>0</v>
      </c>
      <c r="I45" s="17">
        <f>IF(8='前提'!$B$87,'前提'!$B$85,0)</f>
        <v>0</v>
      </c>
      <c r="J45" s="17">
        <f>IF(9='前提'!$B$87,'前提'!$B$85,0)</f>
        <v>0</v>
      </c>
      <c r="K45" s="17">
        <f>IF(10='前提'!$B$87,'前提'!$B$85,0)</f>
        <v>0</v>
      </c>
      <c r="L45" s="17">
        <f>IF(11='前提'!$B$87,'前提'!$B$85,0)</f>
        <v>0</v>
      </c>
      <c r="M45" s="17">
        <f>IF(12='前提'!$B$87,'前提'!$B$85,0)</f>
        <v>0</v>
      </c>
      <c r="N45" s="17">
        <f>IF(13='前提'!$B$87,'前提'!$B$85,0)</f>
        <v>0</v>
      </c>
      <c r="O45" s="17">
        <f>IF(14='前提'!$B$87,'前提'!$B$85,0)</f>
        <v>0</v>
      </c>
      <c r="P45" s="17">
        <f>IF(15='前提'!$B$87,'前提'!$B$85,0)</f>
        <v>0</v>
      </c>
      <c r="Q45" s="17">
        <f>IF(16='前提'!$B$87,'前提'!$B$85,0)</f>
        <v>0</v>
      </c>
      <c r="R45" s="17">
        <f>IF(17='前提'!$B$87,'前提'!$B$85,0)</f>
        <v>0</v>
      </c>
      <c r="S45" s="17">
        <f>IF(18='前提'!$B$87,'前提'!$B$85,0)</f>
        <v>0</v>
      </c>
      <c r="T45" s="17">
        <f>IF(19='前提'!$B$87,'前提'!$B$85,0)</f>
        <v>0</v>
      </c>
      <c r="U45" s="17">
        <f>IF(20='前提'!$B$87,'前提'!$B$85,0)</f>
        <v>0</v>
      </c>
      <c r="V45" s="17">
        <f>IF(21='前提'!$B$87,'前提'!$B$85,0)</f>
        <v>0</v>
      </c>
      <c r="W45" s="17">
        <f>IF(22='前提'!$B$87,'前提'!$B$85,0)</f>
        <v>0</v>
      </c>
      <c r="X45" s="17">
        <f>IF(23='前提'!$B$87,'前提'!$B$85,0)</f>
        <v>0</v>
      </c>
      <c r="Y45" s="17">
        <f>IF(24='前提'!$B$87,'前提'!$B$85,0)</f>
        <v>100000000</v>
      </c>
      <c r="Z45" s="17">
        <f>IF(25='前提'!$B$87,'前提'!$B$85,0)</f>
        <v>0</v>
      </c>
      <c r="AA45" s="17">
        <f>IF(26='前提'!$B$87,'前提'!$B$85,0)</f>
        <v>0</v>
      </c>
      <c r="AB45" s="17">
        <f>IF(27='前提'!$B$87,'前提'!$B$85,0)</f>
        <v>0</v>
      </c>
      <c r="AC45" s="17">
        <f>IF(28='前提'!$B$87,'前提'!$B$85,0)</f>
        <v>0</v>
      </c>
      <c r="AD45" s="17">
        <f>IF(29='前提'!$B$87,'前提'!$B$85,0)</f>
        <v>0</v>
      </c>
      <c r="AE45" s="17">
        <f>IF(30='前提'!$B$87,'前提'!$B$85,0)</f>
        <v>0</v>
      </c>
      <c r="AF45" s="17">
        <f>IF(31='前提'!$B$87,'前提'!$B$85,0)</f>
        <v>0</v>
      </c>
      <c r="AG45" s="17">
        <f>IF(32='前提'!$B$87,'前提'!$B$85,0)</f>
        <v>0</v>
      </c>
      <c r="AH45" s="17">
        <f>IF(33='前提'!$B$87,'前提'!$B$85,0)</f>
        <v>0</v>
      </c>
      <c r="AI45" s="17">
        <f>IF(34='前提'!$B$87,'前提'!$B$85,0)</f>
        <v>0</v>
      </c>
      <c r="AJ45" s="17">
        <f>IF(35='前提'!$B$87,'前提'!$B$85,0)</f>
        <v>0</v>
      </c>
      <c r="AK45" s="17">
        <f>IF(36='前提'!$B$87,'前提'!$B$85,0)</f>
        <v>0</v>
      </c>
      <c r="AL45" s="17">
        <f>IF(37='前提'!$B$87,'前提'!$B$85,0)</f>
        <v>0</v>
      </c>
      <c r="AM45" s="17">
        <f>IF(38='前提'!$B$87,'前提'!$B$85,0)</f>
        <v>0</v>
      </c>
      <c r="AN45" s="17">
        <f>IF(39='前提'!$B$87,'前提'!$B$85,0)</f>
        <v>0</v>
      </c>
      <c r="AO45" s="17">
        <f>IF(40='前提'!$B$87,'前提'!$B$85,0)</f>
        <v>0</v>
      </c>
      <c r="AP45" s="17">
        <f>IF(41='前提'!$B$87,'前提'!$B$85,0)</f>
        <v>0</v>
      </c>
      <c r="AQ45" s="17">
        <f>IF(42='前提'!$B$87,'前提'!$B$85,0)</f>
        <v>0</v>
      </c>
      <c r="AR45" s="17">
        <f>IF(43='前提'!$B$87,'前提'!$B$85,0)</f>
        <v>0</v>
      </c>
      <c r="AS45" s="17">
        <f>IF(44='前提'!$B$87,'前提'!$B$85,0)</f>
        <v>0</v>
      </c>
      <c r="AT45" s="17">
        <f>IF(45='前提'!$B$87,'前提'!$B$85,0)</f>
        <v>0</v>
      </c>
      <c r="AU45" s="17">
        <f>IF(46='前提'!$B$87,'前提'!$B$85,0)</f>
        <v>0</v>
      </c>
      <c r="AV45" s="17">
        <f>IF(47='前提'!$B$87,'前提'!$B$85,0)</f>
        <v>0</v>
      </c>
      <c r="AW45" s="17">
        <f>IF(48='前提'!$B$87,'前提'!$B$85,0)</f>
        <v>0</v>
      </c>
      <c r="AX45" s="17">
        <f>IF(49='前提'!$B$87,'前提'!$B$85,0)</f>
        <v>0</v>
      </c>
      <c r="AY45" s="17">
        <f>IF(50='前提'!$B$87,'前提'!$B$85,0)</f>
        <v>0</v>
      </c>
      <c r="AZ45" s="17">
        <f>IF(51='前提'!$B$87,'前提'!$B$85,0)</f>
        <v>0</v>
      </c>
      <c r="BA45" s="17">
        <f>IF(52='前提'!$B$87,'前提'!$B$85,0)</f>
        <v>0</v>
      </c>
      <c r="BB45" s="17">
        <f>IF(53='前提'!$B$87,'前提'!$B$85,0)</f>
        <v>0</v>
      </c>
      <c r="BC45" s="17">
        <f>IF(54='前提'!$B$87,'前提'!$B$85,0)</f>
        <v>0</v>
      </c>
      <c r="BD45" s="17">
        <f>IF(55='前提'!$B$87,'前提'!$B$85,0)</f>
        <v>0</v>
      </c>
      <c r="BE45" s="17">
        <f>IF(56='前提'!$B$87,'前提'!$B$85,0)</f>
        <v>0</v>
      </c>
      <c r="BF45" s="17">
        <f>IF(57='前提'!$B$87,'前提'!$B$85,0)</f>
        <v>0</v>
      </c>
      <c r="BG45" s="17">
        <f>IF(58='前提'!$B$87,'前提'!$B$85,0)</f>
        <v>0</v>
      </c>
      <c r="BH45" s="17">
        <f>IF(59='前提'!$B$87,'前提'!$B$85,0)</f>
        <v>0</v>
      </c>
      <c r="BI45" s="17">
        <f>IF(60='前提'!$B$87,'前提'!$B$85,0)</f>
        <v>0</v>
      </c>
    </row>
    <row r="46" ht="15.75" customHeight="1">
      <c r="A46" s="9" t="s">
        <v>205</v>
      </c>
      <c r="B46" s="17">
        <f>'前提'!$B$80*'前提'!$B$81/12</f>
        <v>6250</v>
      </c>
      <c r="C46" s="17">
        <f>'前提'!$B$80*'前提'!$B$81/12</f>
        <v>6250</v>
      </c>
      <c r="D46" s="17">
        <f>'前提'!$B$80*'前提'!$B$81/12</f>
        <v>6250</v>
      </c>
      <c r="E46" s="17">
        <f>'前提'!$B$80*'前提'!$B$81/12</f>
        <v>6250</v>
      </c>
      <c r="F46" s="17">
        <f>'前提'!$B$80*'前提'!$B$81/12</f>
        <v>6250</v>
      </c>
      <c r="G46" s="17">
        <f>'前提'!$B$80*'前提'!$B$81/12</f>
        <v>6250</v>
      </c>
      <c r="H46" s="17">
        <f>'前提'!$B$80*'前提'!$B$81/12</f>
        <v>6250</v>
      </c>
      <c r="I46" s="17">
        <f>'前提'!$B$80*'前提'!$B$81/12</f>
        <v>6250</v>
      </c>
      <c r="J46" s="17">
        <f>'前提'!$B$80*'前提'!$B$81/12</f>
        <v>6250</v>
      </c>
      <c r="K46" s="17">
        <f>'前提'!$B$80*'前提'!$B$81/12</f>
        <v>6250</v>
      </c>
      <c r="L46" s="17">
        <f>'前提'!$B$80*'前提'!$B$81/12</f>
        <v>6250</v>
      </c>
      <c r="M46" s="17">
        <f>'前提'!$B$80*'前提'!$B$81/12</f>
        <v>6250</v>
      </c>
      <c r="N46" s="17">
        <f>'前提'!$B$80*'前提'!$B$81/12</f>
        <v>6250</v>
      </c>
      <c r="O46" s="17">
        <f>'前提'!$B$80*'前提'!$B$81/12</f>
        <v>6250</v>
      </c>
      <c r="P46" s="17">
        <f>'前提'!$B$80*'前提'!$B$81/12</f>
        <v>6250</v>
      </c>
      <c r="Q46" s="17">
        <f>'前提'!$B$80*'前提'!$B$81/12</f>
        <v>6250</v>
      </c>
      <c r="R46" s="17">
        <f>'前提'!$B$80*'前提'!$B$81/12</f>
        <v>6250</v>
      </c>
      <c r="S46" s="17">
        <f>'前提'!$B$80*'前提'!$B$81/12</f>
        <v>6250</v>
      </c>
      <c r="T46" s="17">
        <f>'前提'!$B$80*'前提'!$B$81/12</f>
        <v>6250</v>
      </c>
      <c r="U46" s="17">
        <f>'前提'!$B$80*'前提'!$B$81/12</f>
        <v>6250</v>
      </c>
      <c r="V46" s="17">
        <f>'前提'!$B$80*'前提'!$B$81/12</f>
        <v>6250</v>
      </c>
      <c r="W46" s="17">
        <f>'前提'!$B$80*'前提'!$B$81/12</f>
        <v>6250</v>
      </c>
      <c r="X46" s="17">
        <f>'前提'!$B$80*'前提'!$B$81/12</f>
        <v>6250</v>
      </c>
      <c r="Y46" s="17">
        <f>'前提'!$B$80*'前提'!$B$81/12</f>
        <v>6250</v>
      </c>
      <c r="Z46" s="17">
        <f>'前提'!$B$80*'前提'!$B$81/12</f>
        <v>6250</v>
      </c>
      <c r="AA46" s="17">
        <f>'前提'!$B$80*'前提'!$B$81/12</f>
        <v>6250</v>
      </c>
      <c r="AB46" s="17">
        <f>'前提'!$B$80*'前提'!$B$81/12</f>
        <v>6250</v>
      </c>
      <c r="AC46" s="17">
        <f>'前提'!$B$80*'前提'!$B$81/12</f>
        <v>6250</v>
      </c>
      <c r="AD46" s="17">
        <f>'前提'!$B$80*'前提'!$B$81/12</f>
        <v>6250</v>
      </c>
      <c r="AE46" s="17">
        <f>'前提'!$B$80*'前提'!$B$81/12</f>
        <v>6250</v>
      </c>
      <c r="AF46" s="17">
        <f>'前提'!$B$80*'前提'!$B$81/12</f>
        <v>6250</v>
      </c>
      <c r="AG46" s="17">
        <f>'前提'!$B$80*'前提'!$B$81/12</f>
        <v>6250</v>
      </c>
      <c r="AH46" s="17">
        <f>'前提'!$B$80*'前提'!$B$81/12</f>
        <v>6250</v>
      </c>
      <c r="AI46" s="17">
        <f>'前提'!$B$80*'前提'!$B$81/12</f>
        <v>6250</v>
      </c>
      <c r="AJ46" s="17">
        <f>'前提'!$B$80*'前提'!$B$81/12</f>
        <v>6250</v>
      </c>
      <c r="AK46" s="17">
        <f>'前提'!$B$80*'前提'!$B$81/12</f>
        <v>6250</v>
      </c>
      <c r="AL46" s="17">
        <f>'前提'!$B$80*'前提'!$B$81/12</f>
        <v>6250</v>
      </c>
      <c r="AM46" s="17">
        <f>'前提'!$B$80*'前提'!$B$81/12</f>
        <v>6250</v>
      </c>
      <c r="AN46" s="17">
        <f>'前提'!$B$80*'前提'!$B$81/12</f>
        <v>6250</v>
      </c>
      <c r="AO46" s="17">
        <f>'前提'!$B$80*'前提'!$B$81/12</f>
        <v>6250</v>
      </c>
      <c r="AP46" s="17">
        <f>'前提'!$B$80*'前提'!$B$81/12</f>
        <v>6250</v>
      </c>
      <c r="AQ46" s="17">
        <f>'前提'!$B$80*'前提'!$B$81/12</f>
        <v>6250</v>
      </c>
      <c r="AR46" s="17">
        <f>'前提'!$B$80*'前提'!$B$81/12</f>
        <v>6250</v>
      </c>
      <c r="AS46" s="17">
        <f>'前提'!$B$80*'前提'!$B$81/12</f>
        <v>6250</v>
      </c>
      <c r="AT46" s="17">
        <f>'前提'!$B$80*'前提'!$B$81/12</f>
        <v>6250</v>
      </c>
      <c r="AU46" s="17">
        <f>'前提'!$B$80*'前提'!$B$81/12</f>
        <v>6250</v>
      </c>
      <c r="AV46" s="17">
        <f>'前提'!$B$80*'前提'!$B$81/12</f>
        <v>6250</v>
      </c>
      <c r="AW46" s="17">
        <f>'前提'!$B$80*'前提'!$B$81/12</f>
        <v>6250</v>
      </c>
      <c r="AX46" s="17">
        <f>'前提'!$B$80*'前提'!$B$81/12</f>
        <v>6250</v>
      </c>
      <c r="AY46" s="17">
        <f>'前提'!$B$80*'前提'!$B$81/12</f>
        <v>6250</v>
      </c>
      <c r="AZ46" s="17">
        <f>'前提'!$B$80*'前提'!$B$81/12</f>
        <v>6250</v>
      </c>
      <c r="BA46" s="17">
        <f>'前提'!$B$80*'前提'!$B$81/12</f>
        <v>6250</v>
      </c>
      <c r="BB46" s="17">
        <f>'前提'!$B$80*'前提'!$B$81/12</f>
        <v>6250</v>
      </c>
      <c r="BC46" s="17">
        <f>'前提'!$B$80*'前提'!$B$81/12</f>
        <v>6250</v>
      </c>
      <c r="BD46" s="17">
        <f>'前提'!$B$80*'前提'!$B$81/12</f>
        <v>6250</v>
      </c>
      <c r="BE46" s="17">
        <f>'前提'!$B$80*'前提'!$B$81/12</f>
        <v>6250</v>
      </c>
      <c r="BF46" s="17">
        <f>'前提'!$B$80*'前提'!$B$81/12</f>
        <v>6250</v>
      </c>
      <c r="BG46" s="17">
        <f>'前提'!$B$80*'前提'!$B$81/12</f>
        <v>6250</v>
      </c>
      <c r="BH46" s="17">
        <f>'前提'!$B$80*'前提'!$B$81/12</f>
        <v>6250</v>
      </c>
      <c r="BI46" s="17">
        <f>'前提'!$B$80*'前提'!$B$81/12</f>
        <v>6250</v>
      </c>
    </row>
    <row r="47" ht="15.75" customHeight="1">
      <c r="A47" s="15" t="s">
        <v>206</v>
      </c>
      <c r="B47" s="19">
        <f>B44+B45+B22-B35-B46</f>
        <v>36372738</v>
      </c>
      <c r="C47" s="19">
        <f t="shared" ref="C47:BI47" si="12">B47+C44+C45+C22-C35-C46</f>
        <v>35718452</v>
      </c>
      <c r="D47" s="19">
        <f t="shared" si="12"/>
        <v>35087142</v>
      </c>
      <c r="E47" s="19">
        <f t="shared" si="12"/>
        <v>34478808</v>
      </c>
      <c r="F47" s="19">
        <f t="shared" si="12"/>
        <v>33893450</v>
      </c>
      <c r="G47" s="19">
        <f t="shared" si="12"/>
        <v>33331068</v>
      </c>
      <c r="H47" s="19">
        <f t="shared" si="12"/>
        <v>32473626</v>
      </c>
      <c r="I47" s="19">
        <f t="shared" si="12"/>
        <v>31823612</v>
      </c>
      <c r="J47" s="19">
        <f t="shared" si="12"/>
        <v>31381026</v>
      </c>
      <c r="K47" s="19">
        <f t="shared" si="12"/>
        <v>30795868</v>
      </c>
      <c r="L47" s="19">
        <f t="shared" si="12"/>
        <v>30418138</v>
      </c>
      <c r="M47" s="19">
        <f t="shared" si="12"/>
        <v>30397824</v>
      </c>
      <c r="N47" s="19">
        <f t="shared" si="12"/>
        <v>29824926</v>
      </c>
      <c r="O47" s="19">
        <f t="shared" si="12"/>
        <v>29709444</v>
      </c>
      <c r="P47" s="19">
        <f t="shared" si="12"/>
        <v>30039890</v>
      </c>
      <c r="Q47" s="19">
        <f t="shared" si="12"/>
        <v>30816264</v>
      </c>
      <c r="R47" s="19">
        <f t="shared" si="12"/>
        <v>31888554</v>
      </c>
      <c r="S47" s="19">
        <f t="shared" si="12"/>
        <v>33606760</v>
      </c>
      <c r="T47" s="19">
        <f t="shared" si="12"/>
        <v>35607370</v>
      </c>
      <c r="U47" s="19">
        <f t="shared" si="12"/>
        <v>38265384</v>
      </c>
      <c r="V47" s="19">
        <f t="shared" si="12"/>
        <v>41780790</v>
      </c>
      <c r="W47" s="19">
        <f t="shared" si="12"/>
        <v>46153588</v>
      </c>
      <c r="X47" s="19">
        <f t="shared" si="12"/>
        <v>51033778</v>
      </c>
      <c r="Y47" s="19">
        <f t="shared" si="12"/>
        <v>156771360</v>
      </c>
      <c r="Z47" s="19">
        <f t="shared" si="12"/>
        <v>162339298</v>
      </c>
      <c r="AA47" s="19">
        <f t="shared" si="12"/>
        <v>168976104</v>
      </c>
      <c r="AB47" s="19">
        <f t="shared" si="12"/>
        <v>176681778</v>
      </c>
      <c r="AC47" s="19">
        <f t="shared" si="12"/>
        <v>185306308</v>
      </c>
      <c r="AD47" s="19">
        <f t="shared" si="12"/>
        <v>195199694</v>
      </c>
      <c r="AE47" s="19">
        <f t="shared" si="12"/>
        <v>206341936</v>
      </c>
      <c r="AF47" s="19">
        <f t="shared" si="12"/>
        <v>218953022</v>
      </c>
      <c r="AG47" s="19">
        <f t="shared" si="12"/>
        <v>233032952</v>
      </c>
      <c r="AH47" s="19">
        <f t="shared" si="12"/>
        <v>248231726</v>
      </c>
      <c r="AI47" s="19">
        <f t="shared" si="12"/>
        <v>264887856</v>
      </c>
      <c r="AJ47" s="19">
        <f t="shared" si="12"/>
        <v>283001342</v>
      </c>
      <c r="AK47" s="19">
        <f t="shared" si="12"/>
        <v>302572184</v>
      </c>
      <c r="AL47" s="19">
        <f t="shared" si="12"/>
        <v>323273358</v>
      </c>
      <c r="AM47" s="19">
        <f t="shared" si="12"/>
        <v>345304852</v>
      </c>
      <c r="AN47" s="19">
        <f t="shared" si="12"/>
        <v>369016666</v>
      </c>
      <c r="AO47" s="19">
        <f t="shared" si="12"/>
        <v>394408800</v>
      </c>
      <c r="AP47" s="19">
        <f t="shared" si="12"/>
        <v>421681242</v>
      </c>
      <c r="AQ47" s="19">
        <f t="shared" si="12"/>
        <v>450822504</v>
      </c>
      <c r="AR47" s="19">
        <f t="shared" si="12"/>
        <v>481482586</v>
      </c>
      <c r="AS47" s="19">
        <f t="shared" si="12"/>
        <v>514211476</v>
      </c>
      <c r="AT47" s="19">
        <f t="shared" si="12"/>
        <v>549009174</v>
      </c>
      <c r="AU47" s="19">
        <f t="shared" si="12"/>
        <v>585875680</v>
      </c>
      <c r="AV47" s="19">
        <f t="shared" si="12"/>
        <v>624611006</v>
      </c>
      <c r="AW47" s="19">
        <f t="shared" si="12"/>
        <v>665065140</v>
      </c>
      <c r="AX47" s="19">
        <f t="shared" si="12"/>
        <v>707261058</v>
      </c>
      <c r="AY47" s="19">
        <f t="shared" si="12"/>
        <v>751537272</v>
      </c>
      <c r="AZ47" s="19">
        <f t="shared" si="12"/>
        <v>798093770</v>
      </c>
      <c r="BA47" s="19">
        <f t="shared" si="12"/>
        <v>846580552</v>
      </c>
      <c r="BB47" s="19">
        <f t="shared" si="12"/>
        <v>897547606</v>
      </c>
      <c r="BC47" s="19">
        <f t="shared" si="12"/>
        <v>950994932</v>
      </c>
      <c r="BD47" s="19">
        <f t="shared" si="12"/>
        <v>1006922530</v>
      </c>
      <c r="BE47" s="19">
        <f t="shared" si="12"/>
        <v>1064980400</v>
      </c>
      <c r="BF47" s="19">
        <f t="shared" si="12"/>
        <v>1125507054</v>
      </c>
      <c r="BG47" s="19">
        <f t="shared" si="12"/>
        <v>1188502492</v>
      </c>
      <c r="BH47" s="19">
        <f t="shared" si="12"/>
        <v>1253966714</v>
      </c>
      <c r="BI47" s="19">
        <f t="shared" si="12"/>
        <v>1322099708</v>
      </c>
    </row>
    <row r="48" ht="15.75" customHeight="1">
      <c r="A48" s="9" t="s">
        <v>207</v>
      </c>
      <c r="B48" s="25">
        <f t="shared" ref="B48:BI48" si="13">IF(B47&gt;0,IF(B35&gt;0,B47/B35,999),0)</f>
        <v>32.11686764</v>
      </c>
      <c r="C48" s="25">
        <f t="shared" si="13"/>
        <v>31.53846942</v>
      </c>
      <c r="D48" s="25">
        <f t="shared" si="13"/>
        <v>30.9803825</v>
      </c>
      <c r="E48" s="25">
        <f t="shared" si="13"/>
        <v>30.44260558</v>
      </c>
      <c r="F48" s="25">
        <f t="shared" si="13"/>
        <v>29.92513738</v>
      </c>
      <c r="G48" s="25">
        <f t="shared" si="13"/>
        <v>29.42797661</v>
      </c>
      <c r="H48" s="25">
        <f t="shared" si="13"/>
        <v>15.03274987</v>
      </c>
      <c r="I48" s="25">
        <f t="shared" si="13"/>
        <v>14.7313532</v>
      </c>
      <c r="J48" s="25">
        <f t="shared" si="13"/>
        <v>14.52599318</v>
      </c>
      <c r="K48" s="25">
        <f t="shared" si="13"/>
        <v>12.26727608</v>
      </c>
      <c r="L48" s="25">
        <f t="shared" si="13"/>
        <v>12.11646299</v>
      </c>
      <c r="M48" s="25">
        <f t="shared" si="13"/>
        <v>12.10796618</v>
      </c>
      <c r="N48" s="25">
        <f t="shared" si="13"/>
        <v>7.80624805</v>
      </c>
      <c r="O48" s="25">
        <f t="shared" si="13"/>
        <v>7.775851329</v>
      </c>
      <c r="P48" s="25">
        <f t="shared" si="13"/>
        <v>7.862190785</v>
      </c>
      <c r="Q48" s="25">
        <f t="shared" si="13"/>
        <v>8.065235302</v>
      </c>
      <c r="R48" s="25">
        <f t="shared" si="13"/>
        <v>7.645375165</v>
      </c>
      <c r="S48" s="25">
        <f t="shared" si="13"/>
        <v>8.057157872</v>
      </c>
      <c r="T48" s="25">
        <f t="shared" si="13"/>
        <v>7.463073815</v>
      </c>
      <c r="U48" s="25">
        <f t="shared" si="13"/>
        <v>8.02001494</v>
      </c>
      <c r="V48" s="25">
        <f t="shared" si="13"/>
        <v>8.756608201</v>
      </c>
      <c r="W48" s="25">
        <f t="shared" si="13"/>
        <v>9.672860169</v>
      </c>
      <c r="X48" s="25">
        <f t="shared" si="13"/>
        <v>9.964498707</v>
      </c>
      <c r="Y48" s="25">
        <f t="shared" si="13"/>
        <v>30.60943427</v>
      </c>
      <c r="Z48" s="25">
        <f t="shared" si="13"/>
        <v>23.7970935</v>
      </c>
      <c r="AA48" s="25">
        <f t="shared" si="13"/>
        <v>24.76949444</v>
      </c>
      <c r="AB48" s="25">
        <f t="shared" si="13"/>
        <v>25.89853558</v>
      </c>
      <c r="AC48" s="25">
        <f t="shared" si="13"/>
        <v>25.83667372</v>
      </c>
      <c r="AD48" s="25">
        <f t="shared" si="13"/>
        <v>27.21553089</v>
      </c>
      <c r="AE48" s="25">
        <f t="shared" si="13"/>
        <v>28.68845415</v>
      </c>
      <c r="AF48" s="25">
        <f t="shared" si="13"/>
        <v>30.4411581</v>
      </c>
      <c r="AG48" s="25">
        <f t="shared" si="13"/>
        <v>32.39799578</v>
      </c>
      <c r="AH48" s="25">
        <f t="shared" si="13"/>
        <v>32.90899056</v>
      </c>
      <c r="AI48" s="25">
        <f t="shared" si="13"/>
        <v>35.11648443</v>
      </c>
      <c r="AJ48" s="25">
        <f t="shared" si="13"/>
        <v>37.51709366</v>
      </c>
      <c r="AK48" s="25">
        <f t="shared" si="13"/>
        <v>40.11080721</v>
      </c>
      <c r="AL48" s="25">
        <f t="shared" si="13"/>
        <v>38.74518048</v>
      </c>
      <c r="AM48" s="25">
        <f t="shared" si="13"/>
        <v>39.71871904</v>
      </c>
      <c r="AN48" s="25">
        <f t="shared" si="13"/>
        <v>42.44529359</v>
      </c>
      <c r="AO48" s="25">
        <f t="shared" si="13"/>
        <v>45.36502619</v>
      </c>
      <c r="AP48" s="25">
        <f t="shared" si="13"/>
        <v>48.50084009</v>
      </c>
      <c r="AQ48" s="25">
        <f t="shared" si="13"/>
        <v>51.85152984</v>
      </c>
      <c r="AR48" s="25">
        <f t="shared" si="13"/>
        <v>53.23385955</v>
      </c>
      <c r="AS48" s="25">
        <f t="shared" si="13"/>
        <v>56.85123661</v>
      </c>
      <c r="AT48" s="25">
        <f t="shared" si="13"/>
        <v>60.69718272</v>
      </c>
      <c r="AU48" s="25">
        <f t="shared" si="13"/>
        <v>64.77168333</v>
      </c>
      <c r="AV48" s="25">
        <f t="shared" si="13"/>
        <v>69.05270621</v>
      </c>
      <c r="AW48" s="25">
        <f t="shared" si="13"/>
        <v>70.78462338</v>
      </c>
      <c r="AX48" s="25">
        <f t="shared" si="13"/>
        <v>69.36766494</v>
      </c>
      <c r="AY48" s="25">
        <f t="shared" si="13"/>
        <v>73.70876996</v>
      </c>
      <c r="AZ48" s="25">
        <f t="shared" si="13"/>
        <v>78.27324884</v>
      </c>
      <c r="BA48" s="25">
        <f t="shared" si="13"/>
        <v>80.27147591</v>
      </c>
      <c r="BB48" s="25">
        <f t="shared" si="13"/>
        <v>85.10225439</v>
      </c>
      <c r="BC48" s="25">
        <f t="shared" si="13"/>
        <v>90.16798945</v>
      </c>
      <c r="BD48" s="25">
        <f t="shared" si="13"/>
        <v>95.46866585</v>
      </c>
      <c r="BE48" s="25">
        <f t="shared" si="13"/>
        <v>97.72811446</v>
      </c>
      <c r="BF48" s="25">
        <f t="shared" si="13"/>
        <v>103.2803064</v>
      </c>
      <c r="BG48" s="25">
        <f t="shared" si="13"/>
        <v>109.0588177</v>
      </c>
      <c r="BH48" s="25">
        <f t="shared" si="13"/>
        <v>115.0636348</v>
      </c>
      <c r="BI48" s="25">
        <f t="shared" si="13"/>
        <v>121.3129613</v>
      </c>
    </row>
    <row r="49" ht="15.75" customHeight="1"/>
    <row r="50" ht="15.75" customHeight="1">
      <c r="A50" s="2" t="s">
        <v>208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</row>
    <row r="51" ht="15.75" customHeight="1">
      <c r="A51" s="3" t="s">
        <v>209</v>
      </c>
      <c r="B51" s="3">
        <v>1.0</v>
      </c>
      <c r="C51" s="3">
        <v>1.0</v>
      </c>
      <c r="D51" s="3">
        <v>1.0</v>
      </c>
      <c r="E51" s="3">
        <v>1.0</v>
      </c>
      <c r="F51" s="3">
        <v>1.0</v>
      </c>
      <c r="G51" s="3">
        <v>1.0</v>
      </c>
      <c r="H51" s="3">
        <v>1.0</v>
      </c>
      <c r="I51" s="3">
        <v>1.0</v>
      </c>
      <c r="J51" s="3">
        <v>1.0</v>
      </c>
      <c r="K51" s="3">
        <v>1.0</v>
      </c>
      <c r="L51" s="3">
        <v>1.0</v>
      </c>
      <c r="M51" s="3">
        <v>1.0</v>
      </c>
      <c r="N51" s="3">
        <v>1.0</v>
      </c>
      <c r="O51" s="3">
        <v>1.0</v>
      </c>
      <c r="P51" s="3">
        <v>1.0</v>
      </c>
      <c r="Q51" s="3">
        <v>1.0</v>
      </c>
      <c r="R51" s="3">
        <v>1.0</v>
      </c>
      <c r="S51" s="3">
        <v>1.0</v>
      </c>
      <c r="T51" s="3">
        <v>1.0</v>
      </c>
      <c r="U51" s="3">
        <v>1.0</v>
      </c>
      <c r="V51" s="3">
        <v>1.0</v>
      </c>
      <c r="W51" s="3">
        <v>1.0</v>
      </c>
      <c r="X51" s="3">
        <v>1.0</v>
      </c>
      <c r="Y51" s="3">
        <v>1.0</v>
      </c>
      <c r="Z51" s="3">
        <v>1.0</v>
      </c>
      <c r="AA51" s="3">
        <v>1.0</v>
      </c>
      <c r="AB51" s="3">
        <v>1.0</v>
      </c>
      <c r="AC51" s="3">
        <v>1.0</v>
      </c>
      <c r="AD51" s="3">
        <v>1.0</v>
      </c>
      <c r="AE51" s="3">
        <v>1.0</v>
      </c>
      <c r="AF51" s="3">
        <v>1.0</v>
      </c>
      <c r="AG51" s="3">
        <v>1.0</v>
      </c>
      <c r="AH51" s="3">
        <v>1.0</v>
      </c>
      <c r="AI51" s="3">
        <v>1.0</v>
      </c>
      <c r="AJ51" s="3">
        <v>1.0</v>
      </c>
      <c r="AK51" s="3">
        <v>1.0</v>
      </c>
      <c r="AL51" s="3">
        <v>1.0</v>
      </c>
      <c r="AM51" s="3">
        <v>1.0</v>
      </c>
      <c r="AN51" s="3">
        <v>1.0</v>
      </c>
      <c r="AO51" s="3">
        <v>1.0</v>
      </c>
      <c r="AP51" s="3">
        <v>1.0</v>
      </c>
      <c r="AQ51" s="3">
        <v>1.0</v>
      </c>
      <c r="AR51" s="3">
        <v>1.0</v>
      </c>
      <c r="AS51" s="3">
        <v>1.0</v>
      </c>
      <c r="AT51" s="3">
        <v>1.0</v>
      </c>
      <c r="AU51" s="3">
        <v>1.0</v>
      </c>
      <c r="AV51" s="3">
        <v>1.0</v>
      </c>
      <c r="AW51" s="3">
        <v>1.0</v>
      </c>
      <c r="AX51" s="3">
        <v>1.0</v>
      </c>
      <c r="AY51" s="3">
        <v>1.0</v>
      </c>
      <c r="AZ51" s="3">
        <v>1.0</v>
      </c>
      <c r="BA51" s="3">
        <v>1.0</v>
      </c>
      <c r="BB51" s="3">
        <v>1.0</v>
      </c>
      <c r="BC51" s="3">
        <v>1.0</v>
      </c>
      <c r="BD51" s="3">
        <v>1.0</v>
      </c>
      <c r="BE51" s="3">
        <v>1.0</v>
      </c>
      <c r="BF51" s="3">
        <v>1.0</v>
      </c>
      <c r="BG51" s="3">
        <v>1.0</v>
      </c>
      <c r="BH51" s="3">
        <v>1.0</v>
      </c>
      <c r="BI51" s="3">
        <v>1.0</v>
      </c>
    </row>
    <row r="52" ht="15.75" customHeight="1">
      <c r="A52" s="9" t="s">
        <v>210</v>
      </c>
      <c r="B52" s="25">
        <f>IF(1&lt;=6,'前提'!$B$24/160,IF(1&lt;=12,'前提'!$B$25/160,IF(1&lt;=18,'前提'!$B$49,IF(1&lt;=24,'前提'!$B$50,IF(1&lt;=36,'前提'!$B$51,IF(1&lt;=48,'前提'!$B$52,'前提'!$B$53))))))</f>
        <v>0.403125</v>
      </c>
      <c r="C52" s="25">
        <f>IF(2&lt;=6,'前提'!$B$24/160,IF(2&lt;=12,'前提'!$B$25/160,IF(2&lt;=18,'前提'!$B$49,IF(2&lt;=24,'前提'!$B$50,IF(2&lt;=36,'前提'!$B$51,IF(2&lt;=48,'前提'!$B$52,'前提'!$B$53))))))</f>
        <v>0.403125</v>
      </c>
      <c r="D52" s="25">
        <f>IF(3&lt;=6,'前提'!$B$24/160,IF(3&lt;=12,'前提'!$B$25/160,IF(3&lt;=18,'前提'!$B$49,IF(3&lt;=24,'前提'!$B$50,IF(3&lt;=36,'前提'!$B$51,IF(3&lt;=48,'前提'!$B$52,'前提'!$B$53))))))</f>
        <v>0.403125</v>
      </c>
      <c r="E52" s="25">
        <f>IF(4&lt;=6,'前提'!$B$24/160,IF(4&lt;=12,'前提'!$B$25/160,IF(4&lt;=18,'前提'!$B$49,IF(4&lt;=24,'前提'!$B$50,IF(4&lt;=36,'前提'!$B$51,IF(4&lt;=48,'前提'!$B$52,'前提'!$B$53))))))</f>
        <v>0.403125</v>
      </c>
      <c r="F52" s="25">
        <f>IF(5&lt;=6,'前提'!$B$24/160,IF(5&lt;=12,'前提'!$B$25/160,IF(5&lt;=18,'前提'!$B$49,IF(5&lt;=24,'前提'!$B$50,IF(5&lt;=36,'前提'!$B$51,IF(5&lt;=48,'前提'!$B$52,'前提'!$B$53))))))</f>
        <v>0.403125</v>
      </c>
      <c r="G52" s="25">
        <f>IF(6&lt;=6,'前提'!$B$24/160,IF(6&lt;=12,'前提'!$B$25/160,IF(6&lt;=18,'前提'!$B$49,IF(6&lt;=24,'前提'!$B$50,IF(6&lt;=36,'前提'!$B$51,IF(6&lt;=48,'前提'!$B$52,'前提'!$B$53))))))</f>
        <v>0.403125</v>
      </c>
      <c r="H52" s="25">
        <f>IF(7&lt;=6,'前提'!$B$24/160,IF(7&lt;=12,'前提'!$B$25/160,IF(7&lt;=18,'前提'!$B$49,IF(7&lt;=24,'前提'!$B$50,IF(7&lt;=36,'前提'!$B$51,IF(7&lt;=48,'前提'!$B$52,'前提'!$B$53))))))</f>
        <v>0.25</v>
      </c>
      <c r="I52" s="25">
        <f>IF(8&lt;=6,'前提'!$B$24/160,IF(8&lt;=12,'前提'!$B$25/160,IF(8&lt;=18,'前提'!$B$49,IF(8&lt;=24,'前提'!$B$50,IF(8&lt;=36,'前提'!$B$51,IF(8&lt;=48,'前提'!$B$52,'前提'!$B$53))))))</f>
        <v>0.25</v>
      </c>
      <c r="J52" s="25">
        <f>IF(9&lt;=6,'前提'!$B$24/160,IF(9&lt;=12,'前提'!$B$25/160,IF(9&lt;=18,'前提'!$B$49,IF(9&lt;=24,'前提'!$B$50,IF(9&lt;=36,'前提'!$B$51,IF(9&lt;=48,'前提'!$B$52,'前提'!$B$53))))))</f>
        <v>0.25</v>
      </c>
      <c r="K52" s="25">
        <f>IF(10&lt;=6,'前提'!$B$24/160,IF(10&lt;=12,'前提'!$B$25/160,IF(10&lt;=18,'前提'!$B$49,IF(10&lt;=24,'前提'!$B$50,IF(10&lt;=36,'前提'!$B$51,IF(10&lt;=48,'前提'!$B$52,'前提'!$B$53))))))</f>
        <v>0.25</v>
      </c>
      <c r="L52" s="25">
        <f>IF(11&lt;=6,'前提'!$B$24/160,IF(11&lt;=12,'前提'!$B$25/160,IF(11&lt;=18,'前提'!$B$49,IF(11&lt;=24,'前提'!$B$50,IF(11&lt;=36,'前提'!$B$51,IF(11&lt;=48,'前提'!$B$52,'前提'!$B$53))))))</f>
        <v>0.25</v>
      </c>
      <c r="M52" s="25">
        <f>IF(12&lt;=6,'前提'!$B$24/160,IF(12&lt;=12,'前提'!$B$25/160,IF(12&lt;=18,'前提'!$B$49,IF(12&lt;=24,'前提'!$B$50,IF(12&lt;=36,'前提'!$B$51,IF(12&lt;=48,'前提'!$B$52,'前提'!$B$53))))))</f>
        <v>0.25</v>
      </c>
      <c r="N52" s="25">
        <f>IF(13&lt;=6,'前提'!$B$24/160,IF(13&lt;=12,'前提'!$B$25/160,IF(13&lt;=18,'前提'!$B$49,IF(13&lt;=24,'前提'!$B$50,IF(13&lt;=36,'前提'!$B$51,IF(13&lt;=48,'前提'!$B$52,'前提'!$B$53))))))</f>
        <v>1</v>
      </c>
      <c r="O52" s="25">
        <f>IF(14&lt;=6,'前提'!$B$24/160,IF(14&lt;=12,'前提'!$B$25/160,IF(14&lt;=18,'前提'!$B$49,IF(14&lt;=24,'前提'!$B$50,IF(14&lt;=36,'前提'!$B$51,IF(14&lt;=48,'前提'!$B$52,'前提'!$B$53))))))</f>
        <v>1</v>
      </c>
      <c r="P52" s="25">
        <f>IF(15&lt;=6,'前提'!$B$24/160,IF(15&lt;=12,'前提'!$B$25/160,IF(15&lt;=18,'前提'!$B$49,IF(15&lt;=24,'前提'!$B$50,IF(15&lt;=36,'前提'!$B$51,IF(15&lt;=48,'前提'!$B$52,'前提'!$B$53))))))</f>
        <v>1</v>
      </c>
      <c r="Q52" s="25">
        <f>IF(16&lt;=6,'前提'!$B$24/160,IF(16&lt;=12,'前提'!$B$25/160,IF(16&lt;=18,'前提'!$B$49,IF(16&lt;=24,'前提'!$B$50,IF(16&lt;=36,'前提'!$B$51,IF(16&lt;=48,'前提'!$B$52,'前提'!$B$53))))))</f>
        <v>1</v>
      </c>
      <c r="R52" s="25">
        <f>IF(17&lt;=6,'前提'!$B$24/160,IF(17&lt;=12,'前提'!$B$25/160,IF(17&lt;=18,'前提'!$B$49,IF(17&lt;=24,'前提'!$B$50,IF(17&lt;=36,'前提'!$B$51,IF(17&lt;=48,'前提'!$B$52,'前提'!$B$53))))))</f>
        <v>1</v>
      </c>
      <c r="S52" s="25">
        <f>IF(18&lt;=6,'前提'!$B$24/160,IF(18&lt;=12,'前提'!$B$25/160,IF(18&lt;=18,'前提'!$B$49,IF(18&lt;=24,'前提'!$B$50,IF(18&lt;=36,'前提'!$B$51,IF(18&lt;=48,'前提'!$B$52,'前提'!$B$53))))))</f>
        <v>1</v>
      </c>
      <c r="T52" s="25">
        <f>IF(19&lt;=6,'前提'!$B$24/160,IF(19&lt;=12,'前提'!$B$25/160,IF(19&lt;=18,'前提'!$B$49,IF(19&lt;=24,'前提'!$B$50,IF(19&lt;=36,'前提'!$B$51,IF(19&lt;=48,'前提'!$B$52,'前提'!$B$53))))))</f>
        <v>1</v>
      </c>
      <c r="U52" s="25">
        <f>IF(20&lt;=6,'前提'!$B$24/160,IF(20&lt;=12,'前提'!$B$25/160,IF(20&lt;=18,'前提'!$B$49,IF(20&lt;=24,'前提'!$B$50,IF(20&lt;=36,'前提'!$B$51,IF(20&lt;=48,'前提'!$B$52,'前提'!$B$53))))))</f>
        <v>1</v>
      </c>
      <c r="V52" s="25">
        <f>IF(21&lt;=6,'前提'!$B$24/160,IF(21&lt;=12,'前提'!$B$25/160,IF(21&lt;=18,'前提'!$B$49,IF(21&lt;=24,'前提'!$B$50,IF(21&lt;=36,'前提'!$B$51,IF(21&lt;=48,'前提'!$B$52,'前提'!$B$53))))))</f>
        <v>1</v>
      </c>
      <c r="W52" s="25">
        <f>IF(22&lt;=6,'前提'!$B$24/160,IF(22&lt;=12,'前提'!$B$25/160,IF(22&lt;=18,'前提'!$B$49,IF(22&lt;=24,'前提'!$B$50,IF(22&lt;=36,'前提'!$B$51,IF(22&lt;=48,'前提'!$B$52,'前提'!$B$53))))))</f>
        <v>1</v>
      </c>
      <c r="X52" s="25">
        <f>IF(23&lt;=6,'前提'!$B$24/160,IF(23&lt;=12,'前提'!$B$25/160,IF(23&lt;=18,'前提'!$B$49,IF(23&lt;=24,'前提'!$B$50,IF(23&lt;=36,'前提'!$B$51,IF(23&lt;=48,'前提'!$B$52,'前提'!$B$53))))))</f>
        <v>1</v>
      </c>
      <c r="Y52" s="25">
        <f>IF(24&lt;=6,'前提'!$B$24/160,IF(24&lt;=12,'前提'!$B$25/160,IF(24&lt;=18,'前提'!$B$49,IF(24&lt;=24,'前提'!$B$50,IF(24&lt;=36,'前提'!$B$51,IF(24&lt;=48,'前提'!$B$52,'前提'!$B$53))))))</f>
        <v>1</v>
      </c>
      <c r="Z52" s="25">
        <f>IF(25&lt;=6,'前提'!$B$24/160,IF(25&lt;=12,'前提'!$B$25/160,IF(25&lt;=18,'前提'!$B$49,IF(25&lt;=24,'前提'!$B$50,IF(25&lt;=36,'前提'!$B$51,IF(25&lt;=48,'前提'!$B$52,'前提'!$B$53))))))</f>
        <v>2</v>
      </c>
      <c r="AA52" s="25">
        <f>IF(26&lt;=6,'前提'!$B$24/160,IF(26&lt;=12,'前提'!$B$25/160,IF(26&lt;=18,'前提'!$B$49,IF(26&lt;=24,'前提'!$B$50,IF(26&lt;=36,'前提'!$B$51,IF(26&lt;=48,'前提'!$B$52,'前提'!$B$53))))))</f>
        <v>2</v>
      </c>
      <c r="AB52" s="25">
        <f>IF(27&lt;=6,'前提'!$B$24/160,IF(27&lt;=12,'前提'!$B$25/160,IF(27&lt;=18,'前提'!$B$49,IF(27&lt;=24,'前提'!$B$50,IF(27&lt;=36,'前提'!$B$51,IF(27&lt;=48,'前提'!$B$52,'前提'!$B$53))))))</f>
        <v>2</v>
      </c>
      <c r="AC52" s="25">
        <f>IF(28&lt;=6,'前提'!$B$24/160,IF(28&lt;=12,'前提'!$B$25/160,IF(28&lt;=18,'前提'!$B$49,IF(28&lt;=24,'前提'!$B$50,IF(28&lt;=36,'前提'!$B$51,IF(28&lt;=48,'前提'!$B$52,'前提'!$B$53))))))</f>
        <v>2</v>
      </c>
      <c r="AD52" s="25">
        <f>IF(29&lt;=6,'前提'!$B$24/160,IF(29&lt;=12,'前提'!$B$25/160,IF(29&lt;=18,'前提'!$B$49,IF(29&lt;=24,'前提'!$B$50,IF(29&lt;=36,'前提'!$B$51,IF(29&lt;=48,'前提'!$B$52,'前提'!$B$53))))))</f>
        <v>2</v>
      </c>
      <c r="AE52" s="25">
        <f>IF(30&lt;=6,'前提'!$B$24/160,IF(30&lt;=12,'前提'!$B$25/160,IF(30&lt;=18,'前提'!$B$49,IF(30&lt;=24,'前提'!$B$50,IF(30&lt;=36,'前提'!$B$51,IF(30&lt;=48,'前提'!$B$52,'前提'!$B$53))))))</f>
        <v>2</v>
      </c>
      <c r="AF52" s="25">
        <f>IF(31&lt;=6,'前提'!$B$24/160,IF(31&lt;=12,'前提'!$B$25/160,IF(31&lt;=18,'前提'!$B$49,IF(31&lt;=24,'前提'!$B$50,IF(31&lt;=36,'前提'!$B$51,IF(31&lt;=48,'前提'!$B$52,'前提'!$B$53))))))</f>
        <v>2</v>
      </c>
      <c r="AG52" s="25">
        <f>IF(32&lt;=6,'前提'!$B$24/160,IF(32&lt;=12,'前提'!$B$25/160,IF(32&lt;=18,'前提'!$B$49,IF(32&lt;=24,'前提'!$B$50,IF(32&lt;=36,'前提'!$B$51,IF(32&lt;=48,'前提'!$B$52,'前提'!$B$53))))))</f>
        <v>2</v>
      </c>
      <c r="AH52" s="25">
        <f>IF(33&lt;=6,'前提'!$B$24/160,IF(33&lt;=12,'前提'!$B$25/160,IF(33&lt;=18,'前提'!$B$49,IF(33&lt;=24,'前提'!$B$50,IF(33&lt;=36,'前提'!$B$51,IF(33&lt;=48,'前提'!$B$52,'前提'!$B$53))))))</f>
        <v>2</v>
      </c>
      <c r="AI52" s="25">
        <f>IF(34&lt;=6,'前提'!$B$24/160,IF(34&lt;=12,'前提'!$B$25/160,IF(34&lt;=18,'前提'!$B$49,IF(34&lt;=24,'前提'!$B$50,IF(34&lt;=36,'前提'!$B$51,IF(34&lt;=48,'前提'!$B$52,'前提'!$B$53))))))</f>
        <v>2</v>
      </c>
      <c r="AJ52" s="25">
        <f>IF(35&lt;=6,'前提'!$B$24/160,IF(35&lt;=12,'前提'!$B$25/160,IF(35&lt;=18,'前提'!$B$49,IF(35&lt;=24,'前提'!$B$50,IF(35&lt;=36,'前提'!$B$51,IF(35&lt;=48,'前提'!$B$52,'前提'!$B$53))))))</f>
        <v>2</v>
      </c>
      <c r="AK52" s="25">
        <f>IF(36&lt;=6,'前提'!$B$24/160,IF(36&lt;=12,'前提'!$B$25/160,IF(36&lt;=18,'前提'!$B$49,IF(36&lt;=24,'前提'!$B$50,IF(36&lt;=36,'前提'!$B$51,IF(36&lt;=48,'前提'!$B$52,'前提'!$B$53))))))</f>
        <v>2</v>
      </c>
      <c r="AL52" s="25">
        <f>IF(37&lt;=6,'前提'!$B$24/160,IF(37&lt;=12,'前提'!$B$25/160,IF(37&lt;=18,'前提'!$B$49,IF(37&lt;=24,'前提'!$B$50,IF(37&lt;=36,'前提'!$B$51,IF(37&lt;=48,'前提'!$B$52,'前提'!$B$53))))))</f>
        <v>2</v>
      </c>
      <c r="AM52" s="25">
        <f>IF(38&lt;=6,'前提'!$B$24/160,IF(38&lt;=12,'前提'!$B$25/160,IF(38&lt;=18,'前提'!$B$49,IF(38&lt;=24,'前提'!$B$50,IF(38&lt;=36,'前提'!$B$51,IF(38&lt;=48,'前提'!$B$52,'前提'!$B$53))))))</f>
        <v>2</v>
      </c>
      <c r="AN52" s="25">
        <f>IF(39&lt;=6,'前提'!$B$24/160,IF(39&lt;=12,'前提'!$B$25/160,IF(39&lt;=18,'前提'!$B$49,IF(39&lt;=24,'前提'!$B$50,IF(39&lt;=36,'前提'!$B$51,IF(39&lt;=48,'前提'!$B$52,'前提'!$B$53))))))</f>
        <v>2</v>
      </c>
      <c r="AO52" s="25">
        <f>IF(40&lt;=6,'前提'!$B$24/160,IF(40&lt;=12,'前提'!$B$25/160,IF(40&lt;=18,'前提'!$B$49,IF(40&lt;=24,'前提'!$B$50,IF(40&lt;=36,'前提'!$B$51,IF(40&lt;=48,'前提'!$B$52,'前提'!$B$53))))))</f>
        <v>2</v>
      </c>
      <c r="AP52" s="25">
        <f>IF(41&lt;=6,'前提'!$B$24/160,IF(41&lt;=12,'前提'!$B$25/160,IF(41&lt;=18,'前提'!$B$49,IF(41&lt;=24,'前提'!$B$50,IF(41&lt;=36,'前提'!$B$51,IF(41&lt;=48,'前提'!$B$52,'前提'!$B$53))))))</f>
        <v>2</v>
      </c>
      <c r="AQ52" s="25">
        <f>IF(42&lt;=6,'前提'!$B$24/160,IF(42&lt;=12,'前提'!$B$25/160,IF(42&lt;=18,'前提'!$B$49,IF(42&lt;=24,'前提'!$B$50,IF(42&lt;=36,'前提'!$B$51,IF(42&lt;=48,'前提'!$B$52,'前提'!$B$53))))))</f>
        <v>2</v>
      </c>
      <c r="AR52" s="25">
        <f>IF(43&lt;=6,'前提'!$B$24/160,IF(43&lt;=12,'前提'!$B$25/160,IF(43&lt;=18,'前提'!$B$49,IF(43&lt;=24,'前提'!$B$50,IF(43&lt;=36,'前提'!$B$51,IF(43&lt;=48,'前提'!$B$52,'前提'!$B$53))))))</f>
        <v>2</v>
      </c>
      <c r="AS52" s="25">
        <f>IF(44&lt;=6,'前提'!$B$24/160,IF(44&lt;=12,'前提'!$B$25/160,IF(44&lt;=18,'前提'!$B$49,IF(44&lt;=24,'前提'!$B$50,IF(44&lt;=36,'前提'!$B$51,IF(44&lt;=48,'前提'!$B$52,'前提'!$B$53))))))</f>
        <v>2</v>
      </c>
      <c r="AT52" s="25">
        <f>IF(45&lt;=6,'前提'!$B$24/160,IF(45&lt;=12,'前提'!$B$25/160,IF(45&lt;=18,'前提'!$B$49,IF(45&lt;=24,'前提'!$B$50,IF(45&lt;=36,'前提'!$B$51,IF(45&lt;=48,'前提'!$B$52,'前提'!$B$53))))))</f>
        <v>2</v>
      </c>
      <c r="AU52" s="25">
        <f>IF(46&lt;=6,'前提'!$B$24/160,IF(46&lt;=12,'前提'!$B$25/160,IF(46&lt;=18,'前提'!$B$49,IF(46&lt;=24,'前提'!$B$50,IF(46&lt;=36,'前提'!$B$51,IF(46&lt;=48,'前提'!$B$52,'前提'!$B$53))))))</f>
        <v>2</v>
      </c>
      <c r="AV52" s="25">
        <f>IF(47&lt;=6,'前提'!$B$24/160,IF(47&lt;=12,'前提'!$B$25/160,IF(47&lt;=18,'前提'!$B$49,IF(47&lt;=24,'前提'!$B$50,IF(47&lt;=36,'前提'!$B$51,IF(47&lt;=48,'前提'!$B$52,'前提'!$B$53))))))</f>
        <v>2</v>
      </c>
      <c r="AW52" s="25">
        <f>IF(48&lt;=6,'前提'!$B$24/160,IF(48&lt;=12,'前提'!$B$25/160,IF(48&lt;=18,'前提'!$B$49,IF(48&lt;=24,'前提'!$B$50,IF(48&lt;=36,'前提'!$B$51,IF(48&lt;=48,'前提'!$B$52,'前提'!$B$53))))))</f>
        <v>2</v>
      </c>
      <c r="AX52" s="25">
        <f>IF(49&lt;=6,'前提'!$B$24/160,IF(49&lt;=12,'前提'!$B$25/160,IF(49&lt;=18,'前提'!$B$49,IF(49&lt;=24,'前提'!$B$50,IF(49&lt;=36,'前提'!$B$51,IF(49&lt;=48,'前提'!$B$52,'前提'!$B$53))))))</f>
        <v>2</v>
      </c>
      <c r="AY52" s="25">
        <f>IF(50&lt;=6,'前提'!$B$24/160,IF(50&lt;=12,'前提'!$B$25/160,IF(50&lt;=18,'前提'!$B$49,IF(50&lt;=24,'前提'!$B$50,IF(50&lt;=36,'前提'!$B$51,IF(50&lt;=48,'前提'!$B$52,'前提'!$B$53))))))</f>
        <v>2</v>
      </c>
      <c r="AZ52" s="25">
        <f>IF(51&lt;=6,'前提'!$B$24/160,IF(51&lt;=12,'前提'!$B$25/160,IF(51&lt;=18,'前提'!$B$49,IF(51&lt;=24,'前提'!$B$50,IF(51&lt;=36,'前提'!$B$51,IF(51&lt;=48,'前提'!$B$52,'前提'!$B$53))))))</f>
        <v>2</v>
      </c>
      <c r="BA52" s="25">
        <f>IF(52&lt;=6,'前提'!$B$24/160,IF(52&lt;=12,'前提'!$B$25/160,IF(52&lt;=18,'前提'!$B$49,IF(52&lt;=24,'前提'!$B$50,IF(52&lt;=36,'前提'!$B$51,IF(52&lt;=48,'前提'!$B$52,'前提'!$B$53))))))</f>
        <v>2</v>
      </c>
      <c r="BB52" s="25">
        <f>IF(53&lt;=6,'前提'!$B$24/160,IF(53&lt;=12,'前提'!$B$25/160,IF(53&lt;=18,'前提'!$B$49,IF(53&lt;=24,'前提'!$B$50,IF(53&lt;=36,'前提'!$B$51,IF(53&lt;=48,'前提'!$B$52,'前提'!$B$53))))))</f>
        <v>2</v>
      </c>
      <c r="BC52" s="25">
        <f>IF(54&lt;=6,'前提'!$B$24/160,IF(54&lt;=12,'前提'!$B$25/160,IF(54&lt;=18,'前提'!$B$49,IF(54&lt;=24,'前提'!$B$50,IF(54&lt;=36,'前提'!$B$51,IF(54&lt;=48,'前提'!$B$52,'前提'!$B$53))))))</f>
        <v>2</v>
      </c>
      <c r="BD52" s="25">
        <f>IF(55&lt;=6,'前提'!$B$24/160,IF(55&lt;=12,'前提'!$B$25/160,IF(55&lt;=18,'前提'!$B$49,IF(55&lt;=24,'前提'!$B$50,IF(55&lt;=36,'前提'!$B$51,IF(55&lt;=48,'前提'!$B$52,'前提'!$B$53))))))</f>
        <v>2</v>
      </c>
      <c r="BE52" s="25">
        <f>IF(56&lt;=6,'前提'!$B$24/160,IF(56&lt;=12,'前提'!$B$25/160,IF(56&lt;=18,'前提'!$B$49,IF(56&lt;=24,'前提'!$B$50,IF(56&lt;=36,'前提'!$B$51,IF(56&lt;=48,'前提'!$B$52,'前提'!$B$53))))))</f>
        <v>2</v>
      </c>
      <c r="BF52" s="25">
        <f>IF(57&lt;=6,'前提'!$B$24/160,IF(57&lt;=12,'前提'!$B$25/160,IF(57&lt;=18,'前提'!$B$49,IF(57&lt;=24,'前提'!$B$50,IF(57&lt;=36,'前提'!$B$51,IF(57&lt;=48,'前提'!$B$52,'前提'!$B$53))))))</f>
        <v>2</v>
      </c>
      <c r="BG52" s="25">
        <f>IF(58&lt;=6,'前提'!$B$24/160,IF(58&lt;=12,'前提'!$B$25/160,IF(58&lt;=18,'前提'!$B$49,IF(58&lt;=24,'前提'!$B$50,IF(58&lt;=36,'前提'!$B$51,IF(58&lt;=48,'前提'!$B$52,'前提'!$B$53))))))</f>
        <v>2</v>
      </c>
      <c r="BH52" s="25">
        <f>IF(59&lt;=6,'前提'!$B$24/160,IF(59&lt;=12,'前提'!$B$25/160,IF(59&lt;=18,'前提'!$B$49,IF(59&lt;=24,'前提'!$B$50,IF(59&lt;=36,'前提'!$B$51,IF(59&lt;=48,'前提'!$B$52,'前提'!$B$53))))))</f>
        <v>2</v>
      </c>
      <c r="BI52" s="25">
        <f>IF(60&lt;=6,'前提'!$B$24/160,IF(60&lt;=12,'前提'!$B$25/160,IF(60&lt;=18,'前提'!$B$49,IF(60&lt;=24,'前提'!$B$50,IF(60&lt;=36,'前提'!$B$51,IF(60&lt;=48,'前提'!$B$52,'前提'!$B$53))))))</f>
        <v>2</v>
      </c>
    </row>
    <row r="53" ht="15.75" customHeight="1">
      <c r="A53" s="3" t="s">
        <v>211</v>
      </c>
      <c r="B53" s="3">
        <f>IF(1&lt;=6,0,CEILING(B10/'前提'!$B$44,1))</f>
        <v>0</v>
      </c>
      <c r="C53" s="3">
        <f>IF(2&lt;=6,0,CEILING(C10/'前提'!$B$44,1))</f>
        <v>0</v>
      </c>
      <c r="D53" s="3">
        <f>IF(3&lt;=6,0,CEILING(D10/'前提'!$B$44,1))</f>
        <v>0</v>
      </c>
      <c r="E53" s="3">
        <f>IF(4&lt;=6,0,CEILING(E10/'前提'!$B$44,1))</f>
        <v>0</v>
      </c>
      <c r="F53" s="3">
        <f>IF(5&lt;=6,0,CEILING(F10/'前提'!$B$44,1))</f>
        <v>0</v>
      </c>
      <c r="G53" s="3">
        <f>IF(6&lt;=6,0,CEILING(G10/'前提'!$B$44,1))</f>
        <v>0</v>
      </c>
      <c r="H53" s="3">
        <f>IF(7&lt;=6,0,CEILING(H10/'前提'!$B$44,1))</f>
        <v>1</v>
      </c>
      <c r="I53" s="3">
        <f>IF(8&lt;=6,0,CEILING(I10/'前提'!$B$44,1))</f>
        <v>1</v>
      </c>
      <c r="J53" s="3">
        <f>IF(9&lt;=6,0,CEILING(J10/'前提'!$B$44,1))</f>
        <v>1</v>
      </c>
      <c r="K53" s="3">
        <f>IF(10&lt;=6,0,CEILING(K10/'前提'!$B$44,1))</f>
        <v>2</v>
      </c>
      <c r="L53" s="3">
        <f>IF(11&lt;=6,0,CEILING(L10/'前提'!$B$44,1))</f>
        <v>2</v>
      </c>
      <c r="M53" s="3">
        <f>IF(12&lt;=6,0,CEILING(M10/'前提'!$B$44,1))</f>
        <v>2</v>
      </c>
      <c r="N53" s="3">
        <f>IF(13&lt;=6,0,CEILING(N10/'前提'!$B$44,1))</f>
        <v>2</v>
      </c>
      <c r="O53" s="3">
        <f>IF(14&lt;=6,0,CEILING(O10/'前提'!$B$44,1))</f>
        <v>2</v>
      </c>
      <c r="P53" s="3">
        <f>IF(15&lt;=6,0,CEILING(P10/'前提'!$B$44,1))</f>
        <v>2</v>
      </c>
      <c r="Q53" s="3">
        <f>IF(16&lt;=6,0,CEILING(Q10/'前提'!$B$44,1))</f>
        <v>2</v>
      </c>
      <c r="R53" s="3">
        <f>IF(17&lt;=6,0,CEILING(R10/'前提'!$B$44,1))</f>
        <v>3</v>
      </c>
      <c r="S53" s="3">
        <f>IF(18&lt;=6,0,CEILING(S10/'前提'!$B$44,1))</f>
        <v>3</v>
      </c>
      <c r="T53" s="3">
        <f>IF(19&lt;=6,0,CEILING(T10/'前提'!$B$44,1))</f>
        <v>3</v>
      </c>
      <c r="U53" s="3">
        <f>IF(20&lt;=6,0,CEILING(U10/'前提'!$B$44,1))</f>
        <v>3</v>
      </c>
      <c r="V53" s="3">
        <f>IF(21&lt;=6,0,CEILING(V10/'前提'!$B$44,1))</f>
        <v>3</v>
      </c>
      <c r="W53" s="3">
        <f>IF(22&lt;=6,0,CEILING(W10/'前提'!$B$44,1))</f>
        <v>3</v>
      </c>
      <c r="X53" s="3">
        <f>IF(23&lt;=6,0,CEILING(X10/'前提'!$B$44,1))</f>
        <v>4</v>
      </c>
      <c r="Y53" s="3">
        <f>IF(24&lt;=6,0,CEILING(Y10/'前提'!$B$44,1))</f>
        <v>4</v>
      </c>
      <c r="Z53" s="3">
        <f>IF(25&lt;=6,0,CEILING(Z10/'前提'!$B$44,1))</f>
        <v>4</v>
      </c>
      <c r="AA53" s="3">
        <f>IF(26&lt;=6,0,CEILING(AA10/'前提'!$B$44,1))</f>
        <v>4</v>
      </c>
      <c r="AB53" s="3">
        <f>IF(27&lt;=6,0,CEILING(AB10/'前提'!$B$44,1))</f>
        <v>4</v>
      </c>
      <c r="AC53" s="3">
        <f>IF(28&lt;=6,0,CEILING(AC10/'前提'!$B$44,1))</f>
        <v>5</v>
      </c>
      <c r="AD53" s="3">
        <f>IF(29&lt;=6,0,CEILING(AD10/'前提'!$B$44,1))</f>
        <v>5</v>
      </c>
      <c r="AE53" s="3">
        <f>IF(30&lt;=6,0,CEILING(AE10/'前提'!$B$44,1))</f>
        <v>5</v>
      </c>
      <c r="AF53" s="3">
        <f>IF(31&lt;=6,0,CEILING(AF10/'前提'!$B$44,1))</f>
        <v>5</v>
      </c>
      <c r="AG53" s="3">
        <f>IF(32&lt;=6,0,CEILING(AG10/'前提'!$B$44,1))</f>
        <v>5</v>
      </c>
      <c r="AH53" s="3">
        <f>IF(33&lt;=6,0,CEILING(AH10/'前提'!$B$44,1))</f>
        <v>6</v>
      </c>
      <c r="AI53" s="3">
        <f>IF(34&lt;=6,0,CEILING(AI10/'前提'!$B$44,1))</f>
        <v>6</v>
      </c>
      <c r="AJ53" s="3">
        <f>IF(35&lt;=6,0,CEILING(AJ10/'前提'!$B$44,1))</f>
        <v>6</v>
      </c>
      <c r="AK53" s="3">
        <f>IF(36&lt;=6,0,CEILING(AK10/'前提'!$B$44,1))</f>
        <v>6</v>
      </c>
      <c r="AL53" s="3">
        <f>IF(37&lt;=6,0,CEILING(AL10/'前提'!$B$44,1))</f>
        <v>6</v>
      </c>
      <c r="AM53" s="3">
        <f>IF(38&lt;=6,0,CEILING(AM10/'前提'!$B$44,1))</f>
        <v>7</v>
      </c>
      <c r="AN53" s="3">
        <f>IF(39&lt;=6,0,CEILING(AN10/'前提'!$B$44,1))</f>
        <v>7</v>
      </c>
      <c r="AO53" s="3">
        <f>IF(40&lt;=6,0,CEILING(AO10/'前提'!$B$44,1))</f>
        <v>7</v>
      </c>
      <c r="AP53" s="3">
        <f>IF(41&lt;=6,0,CEILING(AP10/'前提'!$B$44,1))</f>
        <v>7</v>
      </c>
      <c r="AQ53" s="3">
        <f>IF(42&lt;=6,0,CEILING(AQ10/'前提'!$B$44,1))</f>
        <v>7</v>
      </c>
      <c r="AR53" s="3">
        <f>IF(43&lt;=6,0,CEILING(AR10/'前提'!$B$44,1))</f>
        <v>8</v>
      </c>
      <c r="AS53" s="3">
        <f>IF(44&lt;=6,0,CEILING(AS10/'前提'!$B$44,1))</f>
        <v>8</v>
      </c>
      <c r="AT53" s="3">
        <f>IF(45&lt;=6,0,CEILING(AT10/'前提'!$B$44,1))</f>
        <v>8</v>
      </c>
      <c r="AU53" s="3">
        <f>IF(46&lt;=6,0,CEILING(AU10/'前提'!$B$44,1))</f>
        <v>8</v>
      </c>
      <c r="AV53" s="3">
        <f>IF(47&lt;=6,0,CEILING(AV10/'前提'!$B$44,1))</f>
        <v>8</v>
      </c>
      <c r="AW53" s="3">
        <f>IF(48&lt;=6,0,CEILING(AW10/'前提'!$B$44,1))</f>
        <v>9</v>
      </c>
      <c r="AX53" s="3">
        <f>IF(49&lt;=6,0,CEILING(AX10/'前提'!$B$44,1))</f>
        <v>9</v>
      </c>
      <c r="AY53" s="3">
        <f>IF(50&lt;=6,0,CEILING(AY10/'前提'!$B$44,1))</f>
        <v>9</v>
      </c>
      <c r="AZ53" s="3">
        <f>IF(51&lt;=6,0,CEILING(AZ10/'前提'!$B$44,1))</f>
        <v>9</v>
      </c>
      <c r="BA53" s="3">
        <f>IF(52&lt;=6,0,CEILING(BA10/'前提'!$B$44,1))</f>
        <v>10</v>
      </c>
      <c r="BB53" s="3">
        <f>IF(53&lt;=6,0,CEILING(BB10/'前提'!$B$44,1))</f>
        <v>10</v>
      </c>
      <c r="BC53" s="3">
        <f>IF(54&lt;=6,0,CEILING(BC10/'前提'!$B$44,1))</f>
        <v>10</v>
      </c>
      <c r="BD53" s="3">
        <f>IF(55&lt;=6,0,CEILING(BD10/'前提'!$B$44,1))</f>
        <v>10</v>
      </c>
      <c r="BE53" s="3">
        <f>IF(56&lt;=6,0,CEILING(BE10/'前提'!$B$44,1))</f>
        <v>11</v>
      </c>
      <c r="BF53" s="3">
        <f>IF(57&lt;=6,0,CEILING(BF10/'前提'!$B$44,1))</f>
        <v>11</v>
      </c>
      <c r="BG53" s="3">
        <f>IF(58&lt;=6,0,CEILING(BG10/'前提'!$B$44,1))</f>
        <v>11</v>
      </c>
      <c r="BH53" s="3">
        <f>IF(59&lt;=6,0,CEILING(BH10/'前提'!$B$44,1))</f>
        <v>11</v>
      </c>
      <c r="BI53" s="3">
        <f>IF(60&lt;=6,0,CEILING(BI10/'前提'!$B$44,1))</f>
        <v>11</v>
      </c>
    </row>
    <row r="54" ht="15.75" customHeight="1">
      <c r="A54" s="9" t="s">
        <v>190</v>
      </c>
      <c r="B54" s="3">
        <f>IF(1&lt;=6,'前提'!$B$65,IF(1&lt;=12,'前提'!$B$66,IF(1&lt;=18,'前提'!$B$67,IF(1&lt;=24,'前提'!$B$68,IF(1&lt;=36,'前提'!$B$69,IF(1&lt;=48,'前提'!$B$70,'前提'!$B$71))))))</f>
        <v>1</v>
      </c>
      <c r="C54" s="3">
        <f>IF(2&lt;=6,'前提'!$B$65,IF(2&lt;=12,'前提'!$B$66,IF(2&lt;=18,'前提'!$B$67,IF(2&lt;=24,'前提'!$B$68,IF(2&lt;=36,'前提'!$B$69,IF(2&lt;=48,'前提'!$B$70,'前提'!$B$71))))))</f>
        <v>1</v>
      </c>
      <c r="D54" s="3">
        <f>IF(3&lt;=6,'前提'!$B$65,IF(3&lt;=12,'前提'!$B$66,IF(3&lt;=18,'前提'!$B$67,IF(3&lt;=24,'前提'!$B$68,IF(3&lt;=36,'前提'!$B$69,IF(3&lt;=48,'前提'!$B$70,'前提'!$B$71))))))</f>
        <v>1</v>
      </c>
      <c r="E54" s="3">
        <f>IF(4&lt;=6,'前提'!$B$65,IF(4&lt;=12,'前提'!$B$66,IF(4&lt;=18,'前提'!$B$67,IF(4&lt;=24,'前提'!$B$68,IF(4&lt;=36,'前提'!$B$69,IF(4&lt;=48,'前提'!$B$70,'前提'!$B$71))))))</f>
        <v>1</v>
      </c>
      <c r="F54" s="3">
        <f>IF(5&lt;=6,'前提'!$B$65,IF(5&lt;=12,'前提'!$B$66,IF(5&lt;=18,'前提'!$B$67,IF(5&lt;=24,'前提'!$B$68,IF(5&lt;=36,'前提'!$B$69,IF(5&lt;=48,'前提'!$B$70,'前提'!$B$71))))))</f>
        <v>1</v>
      </c>
      <c r="G54" s="3">
        <f>IF(6&lt;=6,'前提'!$B$65,IF(6&lt;=12,'前提'!$B$66,IF(6&lt;=18,'前提'!$B$67,IF(6&lt;=24,'前提'!$B$68,IF(6&lt;=36,'前提'!$B$69,IF(6&lt;=48,'前提'!$B$70,'前提'!$B$71))))))</f>
        <v>1</v>
      </c>
      <c r="H54" s="3">
        <f>IF(7&lt;=6,'前提'!$B$65,IF(7&lt;=12,'前提'!$B$66,IF(7&lt;=18,'前提'!$B$67,IF(7&lt;=24,'前提'!$B$68,IF(7&lt;=36,'前提'!$B$69,IF(7&lt;=48,'前提'!$B$70,'前提'!$B$71))))))</f>
        <v>1</v>
      </c>
      <c r="I54" s="3">
        <f>IF(8&lt;=6,'前提'!$B$65,IF(8&lt;=12,'前提'!$B$66,IF(8&lt;=18,'前提'!$B$67,IF(8&lt;=24,'前提'!$B$68,IF(8&lt;=36,'前提'!$B$69,IF(8&lt;=48,'前提'!$B$70,'前提'!$B$71))))))</f>
        <v>1</v>
      </c>
      <c r="J54" s="3">
        <f>IF(9&lt;=6,'前提'!$B$65,IF(9&lt;=12,'前提'!$B$66,IF(9&lt;=18,'前提'!$B$67,IF(9&lt;=24,'前提'!$B$68,IF(9&lt;=36,'前提'!$B$69,IF(9&lt;=48,'前提'!$B$70,'前提'!$B$71))))))</f>
        <v>1</v>
      </c>
      <c r="K54" s="3">
        <f>IF(10&lt;=6,'前提'!$B$65,IF(10&lt;=12,'前提'!$B$66,IF(10&lt;=18,'前提'!$B$67,IF(10&lt;=24,'前提'!$B$68,IF(10&lt;=36,'前提'!$B$69,IF(10&lt;=48,'前提'!$B$70,'前提'!$B$71))))))</f>
        <v>1</v>
      </c>
      <c r="L54" s="3">
        <f>IF(11&lt;=6,'前提'!$B$65,IF(11&lt;=12,'前提'!$B$66,IF(11&lt;=18,'前提'!$B$67,IF(11&lt;=24,'前提'!$B$68,IF(11&lt;=36,'前提'!$B$69,IF(11&lt;=48,'前提'!$B$70,'前提'!$B$71))))))</f>
        <v>1</v>
      </c>
      <c r="M54" s="3">
        <f>IF(12&lt;=6,'前提'!$B$65,IF(12&lt;=12,'前提'!$B$66,IF(12&lt;=18,'前提'!$B$67,IF(12&lt;=24,'前提'!$B$68,IF(12&lt;=36,'前提'!$B$69,IF(12&lt;=48,'前提'!$B$70,'前提'!$B$71))))))</f>
        <v>1</v>
      </c>
      <c r="N54" s="3">
        <f>IF(13&lt;=6,'前提'!$B$65,IF(13&lt;=12,'前提'!$B$66,IF(13&lt;=18,'前提'!$B$67,IF(13&lt;=24,'前提'!$B$68,IF(13&lt;=36,'前提'!$B$69,IF(13&lt;=48,'前提'!$B$70,'前提'!$B$71))))))</f>
        <v>1</v>
      </c>
      <c r="O54" s="3">
        <f>IF(14&lt;=6,'前提'!$B$65,IF(14&lt;=12,'前提'!$B$66,IF(14&lt;=18,'前提'!$B$67,IF(14&lt;=24,'前提'!$B$68,IF(14&lt;=36,'前提'!$B$69,IF(14&lt;=48,'前提'!$B$70,'前提'!$B$71))))))</f>
        <v>1</v>
      </c>
      <c r="P54" s="3">
        <f>IF(15&lt;=6,'前提'!$B$65,IF(15&lt;=12,'前提'!$B$66,IF(15&lt;=18,'前提'!$B$67,IF(15&lt;=24,'前提'!$B$68,IF(15&lt;=36,'前提'!$B$69,IF(15&lt;=48,'前提'!$B$70,'前提'!$B$71))))))</f>
        <v>1</v>
      </c>
      <c r="Q54" s="3">
        <f>IF(16&lt;=6,'前提'!$B$65,IF(16&lt;=12,'前提'!$B$66,IF(16&lt;=18,'前提'!$B$67,IF(16&lt;=24,'前提'!$B$68,IF(16&lt;=36,'前提'!$B$69,IF(16&lt;=48,'前提'!$B$70,'前提'!$B$71))))))</f>
        <v>1</v>
      </c>
      <c r="R54" s="3">
        <f>IF(17&lt;=6,'前提'!$B$65,IF(17&lt;=12,'前提'!$B$66,IF(17&lt;=18,'前提'!$B$67,IF(17&lt;=24,'前提'!$B$68,IF(17&lt;=36,'前提'!$B$69,IF(17&lt;=48,'前提'!$B$70,'前提'!$B$71))))))</f>
        <v>1</v>
      </c>
      <c r="S54" s="3">
        <f>IF(18&lt;=6,'前提'!$B$65,IF(18&lt;=12,'前提'!$B$66,IF(18&lt;=18,'前提'!$B$67,IF(18&lt;=24,'前提'!$B$68,IF(18&lt;=36,'前提'!$B$69,IF(18&lt;=48,'前提'!$B$70,'前提'!$B$71))))))</f>
        <v>1</v>
      </c>
      <c r="T54" s="3">
        <f>IF(19&lt;=6,'前提'!$B$65,IF(19&lt;=12,'前提'!$B$66,IF(19&lt;=18,'前提'!$B$67,IF(19&lt;=24,'前提'!$B$68,IF(19&lt;=36,'前提'!$B$69,IF(19&lt;=48,'前提'!$B$70,'前提'!$B$71))))))</f>
        <v>1</v>
      </c>
      <c r="U54" s="3">
        <f>IF(20&lt;=6,'前提'!$B$65,IF(20&lt;=12,'前提'!$B$66,IF(20&lt;=18,'前提'!$B$67,IF(20&lt;=24,'前提'!$B$68,IF(20&lt;=36,'前提'!$B$69,IF(20&lt;=48,'前提'!$B$70,'前提'!$B$71))))))</f>
        <v>1</v>
      </c>
      <c r="V54" s="3">
        <f>IF(21&lt;=6,'前提'!$B$65,IF(21&lt;=12,'前提'!$B$66,IF(21&lt;=18,'前提'!$B$67,IF(21&lt;=24,'前提'!$B$68,IF(21&lt;=36,'前提'!$B$69,IF(21&lt;=48,'前提'!$B$70,'前提'!$B$71))))))</f>
        <v>1</v>
      </c>
      <c r="W54" s="3">
        <f>IF(22&lt;=6,'前提'!$B$65,IF(22&lt;=12,'前提'!$B$66,IF(22&lt;=18,'前提'!$B$67,IF(22&lt;=24,'前提'!$B$68,IF(22&lt;=36,'前提'!$B$69,IF(22&lt;=48,'前提'!$B$70,'前提'!$B$71))))))</f>
        <v>1</v>
      </c>
      <c r="X54" s="3">
        <f>IF(23&lt;=6,'前提'!$B$65,IF(23&lt;=12,'前提'!$B$66,IF(23&lt;=18,'前提'!$B$67,IF(23&lt;=24,'前提'!$B$68,IF(23&lt;=36,'前提'!$B$69,IF(23&lt;=48,'前提'!$B$70,'前提'!$B$71))))))</f>
        <v>1</v>
      </c>
      <c r="Y54" s="3">
        <f>IF(24&lt;=6,'前提'!$B$65,IF(24&lt;=12,'前提'!$B$66,IF(24&lt;=18,'前提'!$B$67,IF(24&lt;=24,'前提'!$B$68,IF(24&lt;=36,'前提'!$B$69,IF(24&lt;=48,'前提'!$B$70,'前提'!$B$71))))))</f>
        <v>1</v>
      </c>
      <c r="Z54" s="3">
        <f>IF(25&lt;=6,'前提'!$B$65,IF(25&lt;=12,'前提'!$B$66,IF(25&lt;=18,'前提'!$B$67,IF(25&lt;=24,'前提'!$B$68,IF(25&lt;=36,'前提'!$B$69,IF(25&lt;=48,'前提'!$B$70,'前提'!$B$71))))))</f>
        <v>2</v>
      </c>
      <c r="AA54" s="3">
        <f>IF(26&lt;=6,'前提'!$B$65,IF(26&lt;=12,'前提'!$B$66,IF(26&lt;=18,'前提'!$B$67,IF(26&lt;=24,'前提'!$B$68,IF(26&lt;=36,'前提'!$B$69,IF(26&lt;=48,'前提'!$B$70,'前提'!$B$71))))))</f>
        <v>2</v>
      </c>
      <c r="AB54" s="3">
        <f>IF(27&lt;=6,'前提'!$B$65,IF(27&lt;=12,'前提'!$B$66,IF(27&lt;=18,'前提'!$B$67,IF(27&lt;=24,'前提'!$B$68,IF(27&lt;=36,'前提'!$B$69,IF(27&lt;=48,'前提'!$B$70,'前提'!$B$71))))))</f>
        <v>2</v>
      </c>
      <c r="AC54" s="3">
        <f>IF(28&lt;=6,'前提'!$B$65,IF(28&lt;=12,'前提'!$B$66,IF(28&lt;=18,'前提'!$B$67,IF(28&lt;=24,'前提'!$B$68,IF(28&lt;=36,'前提'!$B$69,IF(28&lt;=48,'前提'!$B$70,'前提'!$B$71))))))</f>
        <v>2</v>
      </c>
      <c r="AD54" s="3">
        <f>IF(29&lt;=6,'前提'!$B$65,IF(29&lt;=12,'前提'!$B$66,IF(29&lt;=18,'前提'!$B$67,IF(29&lt;=24,'前提'!$B$68,IF(29&lt;=36,'前提'!$B$69,IF(29&lt;=48,'前提'!$B$70,'前提'!$B$71))))))</f>
        <v>2</v>
      </c>
      <c r="AE54" s="3">
        <f>IF(30&lt;=6,'前提'!$B$65,IF(30&lt;=12,'前提'!$B$66,IF(30&lt;=18,'前提'!$B$67,IF(30&lt;=24,'前提'!$B$68,IF(30&lt;=36,'前提'!$B$69,IF(30&lt;=48,'前提'!$B$70,'前提'!$B$71))))))</f>
        <v>2</v>
      </c>
      <c r="AF54" s="3">
        <f>IF(31&lt;=6,'前提'!$B$65,IF(31&lt;=12,'前提'!$B$66,IF(31&lt;=18,'前提'!$B$67,IF(31&lt;=24,'前提'!$B$68,IF(31&lt;=36,'前提'!$B$69,IF(31&lt;=48,'前提'!$B$70,'前提'!$B$71))))))</f>
        <v>2</v>
      </c>
      <c r="AG54" s="3">
        <f>IF(32&lt;=6,'前提'!$B$65,IF(32&lt;=12,'前提'!$B$66,IF(32&lt;=18,'前提'!$B$67,IF(32&lt;=24,'前提'!$B$68,IF(32&lt;=36,'前提'!$B$69,IF(32&lt;=48,'前提'!$B$70,'前提'!$B$71))))))</f>
        <v>2</v>
      </c>
      <c r="AH54" s="3">
        <f>IF(33&lt;=6,'前提'!$B$65,IF(33&lt;=12,'前提'!$B$66,IF(33&lt;=18,'前提'!$B$67,IF(33&lt;=24,'前提'!$B$68,IF(33&lt;=36,'前提'!$B$69,IF(33&lt;=48,'前提'!$B$70,'前提'!$B$71))))))</f>
        <v>2</v>
      </c>
      <c r="AI54" s="3">
        <f>IF(34&lt;=6,'前提'!$B$65,IF(34&lt;=12,'前提'!$B$66,IF(34&lt;=18,'前提'!$B$67,IF(34&lt;=24,'前提'!$B$68,IF(34&lt;=36,'前提'!$B$69,IF(34&lt;=48,'前提'!$B$70,'前提'!$B$71))))))</f>
        <v>2</v>
      </c>
      <c r="AJ54" s="3">
        <f>IF(35&lt;=6,'前提'!$B$65,IF(35&lt;=12,'前提'!$B$66,IF(35&lt;=18,'前提'!$B$67,IF(35&lt;=24,'前提'!$B$68,IF(35&lt;=36,'前提'!$B$69,IF(35&lt;=48,'前提'!$B$70,'前提'!$B$71))))))</f>
        <v>2</v>
      </c>
      <c r="AK54" s="3">
        <f>IF(36&lt;=6,'前提'!$B$65,IF(36&lt;=12,'前提'!$B$66,IF(36&lt;=18,'前提'!$B$67,IF(36&lt;=24,'前提'!$B$68,IF(36&lt;=36,'前提'!$B$69,IF(36&lt;=48,'前提'!$B$70,'前提'!$B$71))))))</f>
        <v>2</v>
      </c>
      <c r="AL54" s="3">
        <f>IF(37&lt;=6,'前提'!$B$65,IF(37&lt;=12,'前提'!$B$66,IF(37&lt;=18,'前提'!$B$67,IF(37&lt;=24,'前提'!$B$68,IF(37&lt;=36,'前提'!$B$69,IF(37&lt;=48,'前提'!$B$70,'前提'!$B$71))))))</f>
        <v>2</v>
      </c>
      <c r="AM54" s="3">
        <f>IF(38&lt;=6,'前提'!$B$65,IF(38&lt;=12,'前提'!$B$66,IF(38&lt;=18,'前提'!$B$67,IF(38&lt;=24,'前提'!$B$68,IF(38&lt;=36,'前提'!$B$69,IF(38&lt;=48,'前提'!$B$70,'前提'!$B$71))))))</f>
        <v>2</v>
      </c>
      <c r="AN54" s="3">
        <f>IF(39&lt;=6,'前提'!$B$65,IF(39&lt;=12,'前提'!$B$66,IF(39&lt;=18,'前提'!$B$67,IF(39&lt;=24,'前提'!$B$68,IF(39&lt;=36,'前提'!$B$69,IF(39&lt;=48,'前提'!$B$70,'前提'!$B$71))))))</f>
        <v>2</v>
      </c>
      <c r="AO54" s="3">
        <f>IF(40&lt;=6,'前提'!$B$65,IF(40&lt;=12,'前提'!$B$66,IF(40&lt;=18,'前提'!$B$67,IF(40&lt;=24,'前提'!$B$68,IF(40&lt;=36,'前提'!$B$69,IF(40&lt;=48,'前提'!$B$70,'前提'!$B$71))))))</f>
        <v>2</v>
      </c>
      <c r="AP54" s="3">
        <f>IF(41&lt;=6,'前提'!$B$65,IF(41&lt;=12,'前提'!$B$66,IF(41&lt;=18,'前提'!$B$67,IF(41&lt;=24,'前提'!$B$68,IF(41&lt;=36,'前提'!$B$69,IF(41&lt;=48,'前提'!$B$70,'前提'!$B$71))))))</f>
        <v>2</v>
      </c>
      <c r="AQ54" s="3">
        <f>IF(42&lt;=6,'前提'!$B$65,IF(42&lt;=12,'前提'!$B$66,IF(42&lt;=18,'前提'!$B$67,IF(42&lt;=24,'前提'!$B$68,IF(42&lt;=36,'前提'!$B$69,IF(42&lt;=48,'前提'!$B$70,'前提'!$B$71))))))</f>
        <v>2</v>
      </c>
      <c r="AR54" s="3">
        <f>IF(43&lt;=6,'前提'!$B$65,IF(43&lt;=12,'前提'!$B$66,IF(43&lt;=18,'前提'!$B$67,IF(43&lt;=24,'前提'!$B$68,IF(43&lt;=36,'前提'!$B$69,IF(43&lt;=48,'前提'!$B$70,'前提'!$B$71))))))</f>
        <v>2</v>
      </c>
      <c r="AS54" s="3">
        <f>IF(44&lt;=6,'前提'!$B$65,IF(44&lt;=12,'前提'!$B$66,IF(44&lt;=18,'前提'!$B$67,IF(44&lt;=24,'前提'!$B$68,IF(44&lt;=36,'前提'!$B$69,IF(44&lt;=48,'前提'!$B$70,'前提'!$B$71))))))</f>
        <v>2</v>
      </c>
      <c r="AT54" s="3">
        <f>IF(45&lt;=6,'前提'!$B$65,IF(45&lt;=12,'前提'!$B$66,IF(45&lt;=18,'前提'!$B$67,IF(45&lt;=24,'前提'!$B$68,IF(45&lt;=36,'前提'!$B$69,IF(45&lt;=48,'前提'!$B$70,'前提'!$B$71))))))</f>
        <v>2</v>
      </c>
      <c r="AU54" s="3">
        <f>IF(46&lt;=6,'前提'!$B$65,IF(46&lt;=12,'前提'!$B$66,IF(46&lt;=18,'前提'!$B$67,IF(46&lt;=24,'前提'!$B$68,IF(46&lt;=36,'前提'!$B$69,IF(46&lt;=48,'前提'!$B$70,'前提'!$B$71))))))</f>
        <v>2</v>
      </c>
      <c r="AV54" s="3">
        <f>IF(47&lt;=6,'前提'!$B$65,IF(47&lt;=12,'前提'!$B$66,IF(47&lt;=18,'前提'!$B$67,IF(47&lt;=24,'前提'!$B$68,IF(47&lt;=36,'前提'!$B$69,IF(47&lt;=48,'前提'!$B$70,'前提'!$B$71))))))</f>
        <v>2</v>
      </c>
      <c r="AW54" s="3">
        <f>IF(48&lt;=6,'前提'!$B$65,IF(48&lt;=12,'前提'!$B$66,IF(48&lt;=18,'前提'!$B$67,IF(48&lt;=24,'前提'!$B$68,IF(48&lt;=36,'前提'!$B$69,IF(48&lt;=48,'前提'!$B$70,'前提'!$B$71))))))</f>
        <v>2</v>
      </c>
      <c r="AX54" s="3">
        <f>IF(49&lt;=6,'前提'!$B$65,IF(49&lt;=12,'前提'!$B$66,IF(49&lt;=18,'前提'!$B$67,IF(49&lt;=24,'前提'!$B$68,IF(49&lt;=36,'前提'!$B$69,IF(49&lt;=48,'前提'!$B$70,'前提'!$B$71))))))</f>
        <v>3</v>
      </c>
      <c r="AY54" s="3">
        <f>IF(50&lt;=6,'前提'!$B$65,IF(50&lt;=12,'前提'!$B$66,IF(50&lt;=18,'前提'!$B$67,IF(50&lt;=24,'前提'!$B$68,IF(50&lt;=36,'前提'!$B$69,IF(50&lt;=48,'前提'!$B$70,'前提'!$B$71))))))</f>
        <v>3</v>
      </c>
      <c r="AZ54" s="3">
        <f>IF(51&lt;=6,'前提'!$B$65,IF(51&lt;=12,'前提'!$B$66,IF(51&lt;=18,'前提'!$B$67,IF(51&lt;=24,'前提'!$B$68,IF(51&lt;=36,'前提'!$B$69,IF(51&lt;=48,'前提'!$B$70,'前提'!$B$71))))))</f>
        <v>3</v>
      </c>
      <c r="BA54" s="3">
        <f>IF(52&lt;=6,'前提'!$B$65,IF(52&lt;=12,'前提'!$B$66,IF(52&lt;=18,'前提'!$B$67,IF(52&lt;=24,'前提'!$B$68,IF(52&lt;=36,'前提'!$B$69,IF(52&lt;=48,'前提'!$B$70,'前提'!$B$71))))))</f>
        <v>3</v>
      </c>
      <c r="BB54" s="3">
        <f>IF(53&lt;=6,'前提'!$B$65,IF(53&lt;=12,'前提'!$B$66,IF(53&lt;=18,'前提'!$B$67,IF(53&lt;=24,'前提'!$B$68,IF(53&lt;=36,'前提'!$B$69,IF(53&lt;=48,'前提'!$B$70,'前提'!$B$71))))))</f>
        <v>3</v>
      </c>
      <c r="BC54" s="3">
        <f>IF(54&lt;=6,'前提'!$B$65,IF(54&lt;=12,'前提'!$B$66,IF(54&lt;=18,'前提'!$B$67,IF(54&lt;=24,'前提'!$B$68,IF(54&lt;=36,'前提'!$B$69,IF(54&lt;=48,'前提'!$B$70,'前提'!$B$71))))))</f>
        <v>3</v>
      </c>
      <c r="BD54" s="3">
        <f>IF(55&lt;=6,'前提'!$B$65,IF(55&lt;=12,'前提'!$B$66,IF(55&lt;=18,'前提'!$B$67,IF(55&lt;=24,'前提'!$B$68,IF(55&lt;=36,'前提'!$B$69,IF(55&lt;=48,'前提'!$B$70,'前提'!$B$71))))))</f>
        <v>3</v>
      </c>
      <c r="BE54" s="3">
        <f>IF(56&lt;=6,'前提'!$B$65,IF(56&lt;=12,'前提'!$B$66,IF(56&lt;=18,'前提'!$B$67,IF(56&lt;=24,'前提'!$B$68,IF(56&lt;=36,'前提'!$B$69,IF(56&lt;=48,'前提'!$B$70,'前提'!$B$71))))))</f>
        <v>3</v>
      </c>
      <c r="BF54" s="3">
        <f>IF(57&lt;=6,'前提'!$B$65,IF(57&lt;=12,'前提'!$B$66,IF(57&lt;=18,'前提'!$B$67,IF(57&lt;=24,'前提'!$B$68,IF(57&lt;=36,'前提'!$B$69,IF(57&lt;=48,'前提'!$B$70,'前提'!$B$71))))))</f>
        <v>3</v>
      </c>
      <c r="BG54" s="3">
        <f>IF(58&lt;=6,'前提'!$B$65,IF(58&lt;=12,'前提'!$B$66,IF(58&lt;=18,'前提'!$B$67,IF(58&lt;=24,'前提'!$B$68,IF(58&lt;=36,'前提'!$B$69,IF(58&lt;=48,'前提'!$B$70,'前提'!$B$71))))))</f>
        <v>3</v>
      </c>
      <c r="BH54" s="3">
        <f>IF(59&lt;=6,'前提'!$B$65,IF(59&lt;=12,'前提'!$B$66,IF(59&lt;=18,'前提'!$B$67,IF(59&lt;=24,'前提'!$B$68,IF(59&lt;=36,'前提'!$B$69,IF(59&lt;=48,'前提'!$B$70,'前提'!$B$71))))))</f>
        <v>3</v>
      </c>
      <c r="BI54" s="3">
        <f>IF(60&lt;=6,'前提'!$B$65,IF(60&lt;=12,'前提'!$B$66,IF(60&lt;=18,'前提'!$B$67,IF(60&lt;=24,'前提'!$B$68,IF(60&lt;=36,'前提'!$B$69,IF(60&lt;=48,'前提'!$B$70,'前提'!$B$71))))))</f>
        <v>3</v>
      </c>
    </row>
    <row r="55" ht="15.75" customHeight="1">
      <c r="A55" s="3" t="s">
        <v>212</v>
      </c>
      <c r="B55" s="3">
        <f>IF(1&lt;=6,'前提'!$B$56,IF(1&lt;=12,'前提'!$B$57,IF(1&lt;=18,'前提'!$B$58,IF(1&lt;=24,'前提'!$B$59,IF(1&lt;=36,'前提'!$B$60,IF(1&lt;=48,'前提'!$B$61,'前提'!$B$62))))))</f>
        <v>0</v>
      </c>
      <c r="C55" s="3">
        <f>IF(2&lt;=6,'前提'!$B$56,IF(2&lt;=12,'前提'!$B$57,IF(2&lt;=18,'前提'!$B$58,IF(2&lt;=24,'前提'!$B$59,IF(2&lt;=36,'前提'!$B$60,IF(2&lt;=48,'前提'!$B$61,'前提'!$B$62))))))</f>
        <v>0</v>
      </c>
      <c r="D55" s="3">
        <f>IF(3&lt;=6,'前提'!$B$56,IF(3&lt;=12,'前提'!$B$57,IF(3&lt;=18,'前提'!$B$58,IF(3&lt;=24,'前提'!$B$59,IF(3&lt;=36,'前提'!$B$60,IF(3&lt;=48,'前提'!$B$61,'前提'!$B$62))))))</f>
        <v>0</v>
      </c>
      <c r="E55" s="3">
        <f>IF(4&lt;=6,'前提'!$B$56,IF(4&lt;=12,'前提'!$B$57,IF(4&lt;=18,'前提'!$B$58,IF(4&lt;=24,'前提'!$B$59,IF(4&lt;=36,'前提'!$B$60,IF(4&lt;=48,'前提'!$B$61,'前提'!$B$62))))))</f>
        <v>0</v>
      </c>
      <c r="F55" s="3">
        <f>IF(5&lt;=6,'前提'!$B$56,IF(5&lt;=12,'前提'!$B$57,IF(5&lt;=18,'前提'!$B$58,IF(5&lt;=24,'前提'!$B$59,IF(5&lt;=36,'前提'!$B$60,IF(5&lt;=48,'前提'!$B$61,'前提'!$B$62))))))</f>
        <v>0</v>
      </c>
      <c r="G55" s="3">
        <f>IF(6&lt;=6,'前提'!$B$56,IF(6&lt;=12,'前提'!$B$57,IF(6&lt;=18,'前提'!$B$58,IF(6&lt;=24,'前提'!$B$59,IF(6&lt;=36,'前提'!$B$60,IF(6&lt;=48,'前提'!$B$61,'前提'!$B$62))))))</f>
        <v>0</v>
      </c>
      <c r="H55" s="3">
        <f>IF(7&lt;=6,'前提'!$B$56,IF(7&lt;=12,'前提'!$B$57,IF(7&lt;=18,'前提'!$B$58,IF(7&lt;=24,'前提'!$B$59,IF(7&lt;=36,'前提'!$B$60,IF(7&lt;=48,'前提'!$B$61,'前提'!$B$62))))))</f>
        <v>1</v>
      </c>
      <c r="I55" s="3">
        <f>IF(8&lt;=6,'前提'!$B$56,IF(8&lt;=12,'前提'!$B$57,IF(8&lt;=18,'前提'!$B$58,IF(8&lt;=24,'前提'!$B$59,IF(8&lt;=36,'前提'!$B$60,IF(8&lt;=48,'前提'!$B$61,'前提'!$B$62))))))</f>
        <v>1</v>
      </c>
      <c r="J55" s="3">
        <f>IF(9&lt;=6,'前提'!$B$56,IF(9&lt;=12,'前提'!$B$57,IF(9&lt;=18,'前提'!$B$58,IF(9&lt;=24,'前提'!$B$59,IF(9&lt;=36,'前提'!$B$60,IF(9&lt;=48,'前提'!$B$61,'前提'!$B$62))))))</f>
        <v>1</v>
      </c>
      <c r="K55" s="3">
        <f>IF(10&lt;=6,'前提'!$B$56,IF(10&lt;=12,'前提'!$B$57,IF(10&lt;=18,'前提'!$B$58,IF(10&lt;=24,'前提'!$B$59,IF(10&lt;=36,'前提'!$B$60,IF(10&lt;=48,'前提'!$B$61,'前提'!$B$62))))))</f>
        <v>1</v>
      </c>
      <c r="L55" s="3">
        <f>IF(11&lt;=6,'前提'!$B$56,IF(11&lt;=12,'前提'!$B$57,IF(11&lt;=18,'前提'!$B$58,IF(11&lt;=24,'前提'!$B$59,IF(11&lt;=36,'前提'!$B$60,IF(11&lt;=48,'前提'!$B$61,'前提'!$B$62))))))</f>
        <v>1</v>
      </c>
      <c r="M55" s="3">
        <f>IF(12&lt;=6,'前提'!$B$56,IF(12&lt;=12,'前提'!$B$57,IF(12&lt;=18,'前提'!$B$58,IF(12&lt;=24,'前提'!$B$59,IF(12&lt;=36,'前提'!$B$60,IF(12&lt;=48,'前提'!$B$61,'前提'!$B$62))))))</f>
        <v>1</v>
      </c>
      <c r="N55" s="3">
        <f>IF(13&lt;=6,'前提'!$B$56,IF(13&lt;=12,'前提'!$B$57,IF(13&lt;=18,'前提'!$B$58,IF(13&lt;=24,'前提'!$B$59,IF(13&lt;=36,'前提'!$B$60,IF(13&lt;=48,'前提'!$B$61,'前提'!$B$62))))))</f>
        <v>2</v>
      </c>
      <c r="O55" s="3">
        <f>IF(14&lt;=6,'前提'!$B$56,IF(14&lt;=12,'前提'!$B$57,IF(14&lt;=18,'前提'!$B$58,IF(14&lt;=24,'前提'!$B$59,IF(14&lt;=36,'前提'!$B$60,IF(14&lt;=48,'前提'!$B$61,'前提'!$B$62))))))</f>
        <v>2</v>
      </c>
      <c r="P55" s="3">
        <f>IF(15&lt;=6,'前提'!$B$56,IF(15&lt;=12,'前提'!$B$57,IF(15&lt;=18,'前提'!$B$58,IF(15&lt;=24,'前提'!$B$59,IF(15&lt;=36,'前提'!$B$60,IF(15&lt;=48,'前提'!$B$61,'前提'!$B$62))))))</f>
        <v>2</v>
      </c>
      <c r="Q55" s="3">
        <f>IF(16&lt;=6,'前提'!$B$56,IF(16&lt;=12,'前提'!$B$57,IF(16&lt;=18,'前提'!$B$58,IF(16&lt;=24,'前提'!$B$59,IF(16&lt;=36,'前提'!$B$60,IF(16&lt;=48,'前提'!$B$61,'前提'!$B$62))))))</f>
        <v>2</v>
      </c>
      <c r="R55" s="3">
        <f>IF(17&lt;=6,'前提'!$B$56,IF(17&lt;=12,'前提'!$B$57,IF(17&lt;=18,'前提'!$B$58,IF(17&lt;=24,'前提'!$B$59,IF(17&lt;=36,'前提'!$B$60,IF(17&lt;=48,'前提'!$B$61,'前提'!$B$62))))))</f>
        <v>2</v>
      </c>
      <c r="S55" s="3">
        <f>IF(18&lt;=6,'前提'!$B$56,IF(18&lt;=12,'前提'!$B$57,IF(18&lt;=18,'前提'!$B$58,IF(18&lt;=24,'前提'!$B$59,IF(18&lt;=36,'前提'!$B$60,IF(18&lt;=48,'前提'!$B$61,'前提'!$B$62))))))</f>
        <v>2</v>
      </c>
      <c r="T55" s="3">
        <f>IF(19&lt;=6,'前提'!$B$56,IF(19&lt;=12,'前提'!$B$57,IF(19&lt;=18,'前提'!$B$58,IF(19&lt;=24,'前提'!$B$59,IF(19&lt;=36,'前提'!$B$60,IF(19&lt;=48,'前提'!$B$61,'前提'!$B$62))))))</f>
        <v>3</v>
      </c>
      <c r="U55" s="3">
        <f>IF(20&lt;=6,'前提'!$B$56,IF(20&lt;=12,'前提'!$B$57,IF(20&lt;=18,'前提'!$B$58,IF(20&lt;=24,'前提'!$B$59,IF(20&lt;=36,'前提'!$B$60,IF(20&lt;=48,'前提'!$B$61,'前提'!$B$62))))))</f>
        <v>3</v>
      </c>
      <c r="V55" s="3">
        <f>IF(21&lt;=6,'前提'!$B$56,IF(21&lt;=12,'前提'!$B$57,IF(21&lt;=18,'前提'!$B$58,IF(21&lt;=24,'前提'!$B$59,IF(21&lt;=36,'前提'!$B$60,IF(21&lt;=48,'前提'!$B$61,'前提'!$B$62))))))</f>
        <v>3</v>
      </c>
      <c r="W55" s="3">
        <f>IF(22&lt;=6,'前提'!$B$56,IF(22&lt;=12,'前提'!$B$57,IF(22&lt;=18,'前提'!$B$58,IF(22&lt;=24,'前提'!$B$59,IF(22&lt;=36,'前提'!$B$60,IF(22&lt;=48,'前提'!$B$61,'前提'!$B$62))))))</f>
        <v>3</v>
      </c>
      <c r="X55" s="3">
        <f>IF(23&lt;=6,'前提'!$B$56,IF(23&lt;=12,'前提'!$B$57,IF(23&lt;=18,'前提'!$B$58,IF(23&lt;=24,'前提'!$B$59,IF(23&lt;=36,'前提'!$B$60,IF(23&lt;=48,'前提'!$B$61,'前提'!$B$62))))))</f>
        <v>3</v>
      </c>
      <c r="Y55" s="3">
        <f>IF(24&lt;=6,'前提'!$B$56,IF(24&lt;=12,'前提'!$B$57,IF(24&lt;=18,'前提'!$B$58,IF(24&lt;=24,'前提'!$B$59,IF(24&lt;=36,'前提'!$B$60,IF(24&lt;=48,'前提'!$B$61,'前提'!$B$62))))))</f>
        <v>3</v>
      </c>
      <c r="Z55" s="3">
        <f>IF(25&lt;=6,'前提'!$B$56,IF(25&lt;=12,'前提'!$B$57,IF(25&lt;=18,'前提'!$B$58,IF(25&lt;=24,'前提'!$B$59,IF(25&lt;=36,'前提'!$B$60,IF(25&lt;=48,'前提'!$B$61,'前提'!$B$62))))))</f>
        <v>4</v>
      </c>
      <c r="AA55" s="3">
        <f>IF(26&lt;=6,'前提'!$B$56,IF(26&lt;=12,'前提'!$B$57,IF(26&lt;=18,'前提'!$B$58,IF(26&lt;=24,'前提'!$B$59,IF(26&lt;=36,'前提'!$B$60,IF(26&lt;=48,'前提'!$B$61,'前提'!$B$62))))))</f>
        <v>4</v>
      </c>
      <c r="AB55" s="3">
        <f>IF(27&lt;=6,'前提'!$B$56,IF(27&lt;=12,'前提'!$B$57,IF(27&lt;=18,'前提'!$B$58,IF(27&lt;=24,'前提'!$B$59,IF(27&lt;=36,'前提'!$B$60,IF(27&lt;=48,'前提'!$B$61,'前提'!$B$62))))))</f>
        <v>4</v>
      </c>
      <c r="AC55" s="3">
        <f>IF(28&lt;=6,'前提'!$B$56,IF(28&lt;=12,'前提'!$B$57,IF(28&lt;=18,'前提'!$B$58,IF(28&lt;=24,'前提'!$B$59,IF(28&lt;=36,'前提'!$B$60,IF(28&lt;=48,'前提'!$B$61,'前提'!$B$62))))))</f>
        <v>4</v>
      </c>
      <c r="AD55" s="3">
        <f>IF(29&lt;=6,'前提'!$B$56,IF(29&lt;=12,'前提'!$B$57,IF(29&lt;=18,'前提'!$B$58,IF(29&lt;=24,'前提'!$B$59,IF(29&lt;=36,'前提'!$B$60,IF(29&lt;=48,'前提'!$B$61,'前提'!$B$62))))))</f>
        <v>4</v>
      </c>
      <c r="AE55" s="3">
        <f>IF(30&lt;=6,'前提'!$B$56,IF(30&lt;=12,'前提'!$B$57,IF(30&lt;=18,'前提'!$B$58,IF(30&lt;=24,'前提'!$B$59,IF(30&lt;=36,'前提'!$B$60,IF(30&lt;=48,'前提'!$B$61,'前提'!$B$62))))))</f>
        <v>4</v>
      </c>
      <c r="AF55" s="3">
        <f>IF(31&lt;=6,'前提'!$B$56,IF(31&lt;=12,'前提'!$B$57,IF(31&lt;=18,'前提'!$B$58,IF(31&lt;=24,'前提'!$B$59,IF(31&lt;=36,'前提'!$B$60,IF(31&lt;=48,'前提'!$B$61,'前提'!$B$62))))))</f>
        <v>4</v>
      </c>
      <c r="AG55" s="3">
        <f>IF(32&lt;=6,'前提'!$B$56,IF(32&lt;=12,'前提'!$B$57,IF(32&lt;=18,'前提'!$B$58,IF(32&lt;=24,'前提'!$B$59,IF(32&lt;=36,'前提'!$B$60,IF(32&lt;=48,'前提'!$B$61,'前提'!$B$62))))))</f>
        <v>4</v>
      </c>
      <c r="AH55" s="3">
        <f>IF(33&lt;=6,'前提'!$B$56,IF(33&lt;=12,'前提'!$B$57,IF(33&lt;=18,'前提'!$B$58,IF(33&lt;=24,'前提'!$B$59,IF(33&lt;=36,'前提'!$B$60,IF(33&lt;=48,'前提'!$B$61,'前提'!$B$62))))))</f>
        <v>4</v>
      </c>
      <c r="AI55" s="3">
        <f>IF(34&lt;=6,'前提'!$B$56,IF(34&lt;=12,'前提'!$B$57,IF(34&lt;=18,'前提'!$B$58,IF(34&lt;=24,'前提'!$B$59,IF(34&lt;=36,'前提'!$B$60,IF(34&lt;=48,'前提'!$B$61,'前提'!$B$62))))))</f>
        <v>4</v>
      </c>
      <c r="AJ55" s="3">
        <f>IF(35&lt;=6,'前提'!$B$56,IF(35&lt;=12,'前提'!$B$57,IF(35&lt;=18,'前提'!$B$58,IF(35&lt;=24,'前提'!$B$59,IF(35&lt;=36,'前提'!$B$60,IF(35&lt;=48,'前提'!$B$61,'前提'!$B$62))))))</f>
        <v>4</v>
      </c>
      <c r="AK55" s="3">
        <f>IF(36&lt;=6,'前提'!$B$56,IF(36&lt;=12,'前提'!$B$57,IF(36&lt;=18,'前提'!$B$58,IF(36&lt;=24,'前提'!$B$59,IF(36&lt;=36,'前提'!$B$60,IF(36&lt;=48,'前提'!$B$61,'前提'!$B$62))))))</f>
        <v>4</v>
      </c>
      <c r="AL55" s="3">
        <f>IF(37&lt;=6,'前提'!$B$56,IF(37&lt;=12,'前提'!$B$57,IF(37&lt;=18,'前提'!$B$58,IF(37&lt;=24,'前提'!$B$59,IF(37&lt;=36,'前提'!$B$60,IF(37&lt;=48,'前提'!$B$61,'前提'!$B$62))))))</f>
        <v>5</v>
      </c>
      <c r="AM55" s="3">
        <f>IF(38&lt;=6,'前提'!$B$56,IF(38&lt;=12,'前提'!$B$57,IF(38&lt;=18,'前提'!$B$58,IF(38&lt;=24,'前提'!$B$59,IF(38&lt;=36,'前提'!$B$60,IF(38&lt;=48,'前提'!$B$61,'前提'!$B$62))))))</f>
        <v>5</v>
      </c>
      <c r="AN55" s="3">
        <f>IF(39&lt;=6,'前提'!$B$56,IF(39&lt;=12,'前提'!$B$57,IF(39&lt;=18,'前提'!$B$58,IF(39&lt;=24,'前提'!$B$59,IF(39&lt;=36,'前提'!$B$60,IF(39&lt;=48,'前提'!$B$61,'前提'!$B$62))))))</f>
        <v>5</v>
      </c>
      <c r="AO55" s="3">
        <f>IF(40&lt;=6,'前提'!$B$56,IF(40&lt;=12,'前提'!$B$57,IF(40&lt;=18,'前提'!$B$58,IF(40&lt;=24,'前提'!$B$59,IF(40&lt;=36,'前提'!$B$60,IF(40&lt;=48,'前提'!$B$61,'前提'!$B$62))))))</f>
        <v>5</v>
      </c>
      <c r="AP55" s="3">
        <f>IF(41&lt;=6,'前提'!$B$56,IF(41&lt;=12,'前提'!$B$57,IF(41&lt;=18,'前提'!$B$58,IF(41&lt;=24,'前提'!$B$59,IF(41&lt;=36,'前提'!$B$60,IF(41&lt;=48,'前提'!$B$61,'前提'!$B$62))))))</f>
        <v>5</v>
      </c>
      <c r="AQ55" s="3">
        <f>IF(42&lt;=6,'前提'!$B$56,IF(42&lt;=12,'前提'!$B$57,IF(42&lt;=18,'前提'!$B$58,IF(42&lt;=24,'前提'!$B$59,IF(42&lt;=36,'前提'!$B$60,IF(42&lt;=48,'前提'!$B$61,'前提'!$B$62))))))</f>
        <v>5</v>
      </c>
      <c r="AR55" s="3">
        <f>IF(43&lt;=6,'前提'!$B$56,IF(43&lt;=12,'前提'!$B$57,IF(43&lt;=18,'前提'!$B$58,IF(43&lt;=24,'前提'!$B$59,IF(43&lt;=36,'前提'!$B$60,IF(43&lt;=48,'前提'!$B$61,'前提'!$B$62))))))</f>
        <v>5</v>
      </c>
      <c r="AS55" s="3">
        <f>IF(44&lt;=6,'前提'!$B$56,IF(44&lt;=12,'前提'!$B$57,IF(44&lt;=18,'前提'!$B$58,IF(44&lt;=24,'前提'!$B$59,IF(44&lt;=36,'前提'!$B$60,IF(44&lt;=48,'前提'!$B$61,'前提'!$B$62))))))</f>
        <v>5</v>
      </c>
      <c r="AT55" s="3">
        <f>IF(45&lt;=6,'前提'!$B$56,IF(45&lt;=12,'前提'!$B$57,IF(45&lt;=18,'前提'!$B$58,IF(45&lt;=24,'前提'!$B$59,IF(45&lt;=36,'前提'!$B$60,IF(45&lt;=48,'前提'!$B$61,'前提'!$B$62))))))</f>
        <v>5</v>
      </c>
      <c r="AU55" s="3">
        <f>IF(46&lt;=6,'前提'!$B$56,IF(46&lt;=12,'前提'!$B$57,IF(46&lt;=18,'前提'!$B$58,IF(46&lt;=24,'前提'!$B$59,IF(46&lt;=36,'前提'!$B$60,IF(46&lt;=48,'前提'!$B$61,'前提'!$B$62))))))</f>
        <v>5</v>
      </c>
      <c r="AV55" s="3">
        <f>IF(47&lt;=6,'前提'!$B$56,IF(47&lt;=12,'前提'!$B$57,IF(47&lt;=18,'前提'!$B$58,IF(47&lt;=24,'前提'!$B$59,IF(47&lt;=36,'前提'!$B$60,IF(47&lt;=48,'前提'!$B$61,'前提'!$B$62))))))</f>
        <v>5</v>
      </c>
      <c r="AW55" s="3">
        <f>IF(48&lt;=6,'前提'!$B$56,IF(48&lt;=12,'前提'!$B$57,IF(48&lt;=18,'前提'!$B$58,IF(48&lt;=24,'前提'!$B$59,IF(48&lt;=36,'前提'!$B$60,IF(48&lt;=48,'前提'!$B$61,'前提'!$B$62))))))</f>
        <v>5</v>
      </c>
      <c r="AX55" s="3">
        <f>IF(49&lt;=6,'前提'!$B$56,IF(49&lt;=12,'前提'!$B$57,IF(49&lt;=18,'前提'!$B$58,IF(49&lt;=24,'前提'!$B$59,IF(49&lt;=36,'前提'!$B$60,IF(49&lt;=48,'前提'!$B$61,'前提'!$B$62))))))</f>
        <v>6</v>
      </c>
      <c r="AY55" s="3">
        <f>IF(50&lt;=6,'前提'!$B$56,IF(50&lt;=12,'前提'!$B$57,IF(50&lt;=18,'前提'!$B$58,IF(50&lt;=24,'前提'!$B$59,IF(50&lt;=36,'前提'!$B$60,IF(50&lt;=48,'前提'!$B$61,'前提'!$B$62))))))</f>
        <v>6</v>
      </c>
      <c r="AZ55" s="3">
        <f>IF(51&lt;=6,'前提'!$B$56,IF(51&lt;=12,'前提'!$B$57,IF(51&lt;=18,'前提'!$B$58,IF(51&lt;=24,'前提'!$B$59,IF(51&lt;=36,'前提'!$B$60,IF(51&lt;=48,'前提'!$B$61,'前提'!$B$62))))))</f>
        <v>6</v>
      </c>
      <c r="BA55" s="3">
        <f>IF(52&lt;=6,'前提'!$B$56,IF(52&lt;=12,'前提'!$B$57,IF(52&lt;=18,'前提'!$B$58,IF(52&lt;=24,'前提'!$B$59,IF(52&lt;=36,'前提'!$B$60,IF(52&lt;=48,'前提'!$B$61,'前提'!$B$62))))))</f>
        <v>6</v>
      </c>
      <c r="BB55" s="3">
        <f>IF(53&lt;=6,'前提'!$B$56,IF(53&lt;=12,'前提'!$B$57,IF(53&lt;=18,'前提'!$B$58,IF(53&lt;=24,'前提'!$B$59,IF(53&lt;=36,'前提'!$B$60,IF(53&lt;=48,'前提'!$B$61,'前提'!$B$62))))))</f>
        <v>6</v>
      </c>
      <c r="BC55" s="3">
        <f>IF(54&lt;=6,'前提'!$B$56,IF(54&lt;=12,'前提'!$B$57,IF(54&lt;=18,'前提'!$B$58,IF(54&lt;=24,'前提'!$B$59,IF(54&lt;=36,'前提'!$B$60,IF(54&lt;=48,'前提'!$B$61,'前提'!$B$62))))))</f>
        <v>6</v>
      </c>
      <c r="BD55" s="3">
        <f>IF(55&lt;=6,'前提'!$B$56,IF(55&lt;=12,'前提'!$B$57,IF(55&lt;=18,'前提'!$B$58,IF(55&lt;=24,'前提'!$B$59,IF(55&lt;=36,'前提'!$B$60,IF(55&lt;=48,'前提'!$B$61,'前提'!$B$62))))))</f>
        <v>6</v>
      </c>
      <c r="BE55" s="3">
        <f>IF(56&lt;=6,'前提'!$B$56,IF(56&lt;=12,'前提'!$B$57,IF(56&lt;=18,'前提'!$B$58,IF(56&lt;=24,'前提'!$B$59,IF(56&lt;=36,'前提'!$B$60,IF(56&lt;=48,'前提'!$B$61,'前提'!$B$62))))))</f>
        <v>6</v>
      </c>
      <c r="BF55" s="3">
        <f>IF(57&lt;=6,'前提'!$B$56,IF(57&lt;=12,'前提'!$B$57,IF(57&lt;=18,'前提'!$B$58,IF(57&lt;=24,'前提'!$B$59,IF(57&lt;=36,'前提'!$B$60,IF(57&lt;=48,'前提'!$B$61,'前提'!$B$62))))))</f>
        <v>6</v>
      </c>
      <c r="BG55" s="3">
        <f>IF(58&lt;=6,'前提'!$B$56,IF(58&lt;=12,'前提'!$B$57,IF(58&lt;=18,'前提'!$B$58,IF(58&lt;=24,'前提'!$B$59,IF(58&lt;=36,'前提'!$B$60,IF(58&lt;=48,'前提'!$B$61,'前提'!$B$62))))))</f>
        <v>6</v>
      </c>
      <c r="BH55" s="3">
        <f>IF(59&lt;=6,'前提'!$B$56,IF(59&lt;=12,'前提'!$B$57,IF(59&lt;=18,'前提'!$B$58,IF(59&lt;=24,'前提'!$B$59,IF(59&lt;=36,'前提'!$B$60,IF(59&lt;=48,'前提'!$B$61,'前提'!$B$62))))))</f>
        <v>6</v>
      </c>
      <c r="BI55" s="3">
        <f>IF(60&lt;=6,'前提'!$B$56,IF(60&lt;=12,'前提'!$B$57,IF(60&lt;=18,'前提'!$B$58,IF(60&lt;=24,'前提'!$B$59,IF(60&lt;=36,'前提'!$B$60,IF(60&lt;=48,'前提'!$B$61,'前提'!$B$62))))))</f>
        <v>6</v>
      </c>
    </row>
    <row r="56" ht="15.75" customHeight="1">
      <c r="A56" s="3" t="s">
        <v>213</v>
      </c>
      <c r="B56" s="3">
        <f>IF(1&lt;=6,'前提'!$C$56,IF(1&lt;=12,'前提'!$C$57,IF(1&lt;=18,'前提'!$C$58,IF(1&lt;=24,'前提'!$C$59,IF(1&lt;=36,'前提'!$C$60,IF(1&lt;=48,'前提'!$C$61,'前提'!$C$62))))))</f>
        <v>0</v>
      </c>
      <c r="C56" s="3">
        <f>IF(2&lt;=6,'前提'!$C$56,IF(2&lt;=12,'前提'!$C$57,IF(2&lt;=18,'前提'!$C$58,IF(2&lt;=24,'前提'!$C$59,IF(2&lt;=36,'前提'!$C$60,IF(2&lt;=48,'前提'!$C$61,'前提'!$C$62))))))</f>
        <v>0</v>
      </c>
      <c r="D56" s="3">
        <f>IF(3&lt;=6,'前提'!$C$56,IF(3&lt;=12,'前提'!$C$57,IF(3&lt;=18,'前提'!$C$58,IF(3&lt;=24,'前提'!$C$59,IF(3&lt;=36,'前提'!$C$60,IF(3&lt;=48,'前提'!$C$61,'前提'!$C$62))))))</f>
        <v>0</v>
      </c>
      <c r="E56" s="3">
        <f>IF(4&lt;=6,'前提'!$C$56,IF(4&lt;=12,'前提'!$C$57,IF(4&lt;=18,'前提'!$C$58,IF(4&lt;=24,'前提'!$C$59,IF(4&lt;=36,'前提'!$C$60,IF(4&lt;=48,'前提'!$C$61,'前提'!$C$62))))))</f>
        <v>0</v>
      </c>
      <c r="F56" s="3">
        <f>IF(5&lt;=6,'前提'!$C$56,IF(5&lt;=12,'前提'!$C$57,IF(5&lt;=18,'前提'!$C$58,IF(5&lt;=24,'前提'!$C$59,IF(5&lt;=36,'前提'!$C$60,IF(5&lt;=48,'前提'!$C$61,'前提'!$C$62))))))</f>
        <v>0</v>
      </c>
      <c r="G56" s="3">
        <f>IF(6&lt;=6,'前提'!$C$56,IF(6&lt;=12,'前提'!$C$57,IF(6&lt;=18,'前提'!$C$58,IF(6&lt;=24,'前提'!$C$59,IF(6&lt;=36,'前提'!$C$60,IF(6&lt;=48,'前提'!$C$61,'前提'!$C$62))))))</f>
        <v>0</v>
      </c>
      <c r="H56" s="3">
        <f>IF(7&lt;=6,'前提'!$C$56,IF(7&lt;=12,'前提'!$C$57,IF(7&lt;=18,'前提'!$C$58,IF(7&lt;=24,'前提'!$C$59,IF(7&lt;=36,'前提'!$C$60,IF(7&lt;=48,'前提'!$C$61,'前提'!$C$62))))))</f>
        <v>2</v>
      </c>
      <c r="I56" s="3">
        <f>IF(8&lt;=6,'前提'!$C$56,IF(8&lt;=12,'前提'!$C$57,IF(8&lt;=18,'前提'!$C$58,IF(8&lt;=24,'前提'!$C$59,IF(8&lt;=36,'前提'!$C$60,IF(8&lt;=48,'前提'!$C$61,'前提'!$C$62))))))</f>
        <v>2</v>
      </c>
      <c r="J56" s="3">
        <f>IF(9&lt;=6,'前提'!$C$56,IF(9&lt;=12,'前提'!$C$57,IF(9&lt;=18,'前提'!$C$58,IF(9&lt;=24,'前提'!$C$59,IF(9&lt;=36,'前提'!$C$60,IF(9&lt;=48,'前提'!$C$61,'前提'!$C$62))))))</f>
        <v>2</v>
      </c>
      <c r="K56" s="3">
        <f>IF(10&lt;=6,'前提'!$C$56,IF(10&lt;=12,'前提'!$C$57,IF(10&lt;=18,'前提'!$C$58,IF(10&lt;=24,'前提'!$C$59,IF(10&lt;=36,'前提'!$C$60,IF(10&lt;=48,'前提'!$C$61,'前提'!$C$62))))))</f>
        <v>2</v>
      </c>
      <c r="L56" s="3">
        <f>IF(11&lt;=6,'前提'!$C$56,IF(11&lt;=12,'前提'!$C$57,IF(11&lt;=18,'前提'!$C$58,IF(11&lt;=24,'前提'!$C$59,IF(11&lt;=36,'前提'!$C$60,IF(11&lt;=48,'前提'!$C$61,'前提'!$C$62))))))</f>
        <v>2</v>
      </c>
      <c r="M56" s="3">
        <f>IF(12&lt;=6,'前提'!$C$56,IF(12&lt;=12,'前提'!$C$57,IF(12&lt;=18,'前提'!$C$58,IF(12&lt;=24,'前提'!$C$59,IF(12&lt;=36,'前提'!$C$60,IF(12&lt;=48,'前提'!$C$61,'前提'!$C$62))))))</f>
        <v>2</v>
      </c>
      <c r="N56" s="3">
        <f>IF(13&lt;=6,'前提'!$C$56,IF(13&lt;=12,'前提'!$C$57,IF(13&lt;=18,'前提'!$C$58,IF(13&lt;=24,'前提'!$C$59,IF(13&lt;=36,'前提'!$C$60,IF(13&lt;=48,'前提'!$C$61,'前提'!$C$62))))))</f>
        <v>4</v>
      </c>
      <c r="O56" s="3">
        <f>IF(14&lt;=6,'前提'!$C$56,IF(14&lt;=12,'前提'!$C$57,IF(14&lt;=18,'前提'!$C$58,IF(14&lt;=24,'前提'!$C$59,IF(14&lt;=36,'前提'!$C$60,IF(14&lt;=48,'前提'!$C$61,'前提'!$C$62))))))</f>
        <v>4</v>
      </c>
      <c r="P56" s="3">
        <f>IF(15&lt;=6,'前提'!$C$56,IF(15&lt;=12,'前提'!$C$57,IF(15&lt;=18,'前提'!$C$58,IF(15&lt;=24,'前提'!$C$59,IF(15&lt;=36,'前提'!$C$60,IF(15&lt;=48,'前提'!$C$61,'前提'!$C$62))))))</f>
        <v>4</v>
      </c>
      <c r="Q56" s="3">
        <f>IF(16&lt;=6,'前提'!$C$56,IF(16&lt;=12,'前提'!$C$57,IF(16&lt;=18,'前提'!$C$58,IF(16&lt;=24,'前提'!$C$59,IF(16&lt;=36,'前提'!$C$60,IF(16&lt;=48,'前提'!$C$61,'前提'!$C$62))))))</f>
        <v>4</v>
      </c>
      <c r="R56" s="3">
        <f>IF(17&lt;=6,'前提'!$C$56,IF(17&lt;=12,'前提'!$C$57,IF(17&lt;=18,'前提'!$C$58,IF(17&lt;=24,'前提'!$C$59,IF(17&lt;=36,'前提'!$C$60,IF(17&lt;=48,'前提'!$C$61,'前提'!$C$62))))))</f>
        <v>4</v>
      </c>
      <c r="S56" s="3">
        <f>IF(18&lt;=6,'前提'!$C$56,IF(18&lt;=12,'前提'!$C$57,IF(18&lt;=18,'前提'!$C$58,IF(18&lt;=24,'前提'!$C$59,IF(18&lt;=36,'前提'!$C$60,IF(18&lt;=48,'前提'!$C$61,'前提'!$C$62))))))</f>
        <v>4</v>
      </c>
      <c r="T56" s="3">
        <f>IF(19&lt;=6,'前提'!$C$56,IF(19&lt;=12,'前提'!$C$57,IF(19&lt;=18,'前提'!$C$58,IF(19&lt;=24,'前提'!$C$59,IF(19&lt;=36,'前提'!$C$60,IF(19&lt;=48,'前提'!$C$61,'前提'!$C$62))))))</f>
        <v>5</v>
      </c>
      <c r="U56" s="3">
        <f>IF(20&lt;=6,'前提'!$C$56,IF(20&lt;=12,'前提'!$C$57,IF(20&lt;=18,'前提'!$C$58,IF(20&lt;=24,'前提'!$C$59,IF(20&lt;=36,'前提'!$C$60,IF(20&lt;=48,'前提'!$C$61,'前提'!$C$62))))))</f>
        <v>5</v>
      </c>
      <c r="V56" s="3">
        <f>IF(21&lt;=6,'前提'!$C$56,IF(21&lt;=12,'前提'!$C$57,IF(21&lt;=18,'前提'!$C$58,IF(21&lt;=24,'前提'!$C$59,IF(21&lt;=36,'前提'!$C$60,IF(21&lt;=48,'前提'!$C$61,'前提'!$C$62))))))</f>
        <v>5</v>
      </c>
      <c r="W56" s="3">
        <f>IF(22&lt;=6,'前提'!$C$56,IF(22&lt;=12,'前提'!$C$57,IF(22&lt;=18,'前提'!$C$58,IF(22&lt;=24,'前提'!$C$59,IF(22&lt;=36,'前提'!$C$60,IF(22&lt;=48,'前提'!$C$61,'前提'!$C$62))))))</f>
        <v>5</v>
      </c>
      <c r="X56" s="3">
        <f>IF(23&lt;=6,'前提'!$C$56,IF(23&lt;=12,'前提'!$C$57,IF(23&lt;=18,'前提'!$C$58,IF(23&lt;=24,'前提'!$C$59,IF(23&lt;=36,'前提'!$C$60,IF(23&lt;=48,'前提'!$C$61,'前提'!$C$62))))))</f>
        <v>5</v>
      </c>
      <c r="Y56" s="3">
        <f>IF(24&lt;=6,'前提'!$C$56,IF(24&lt;=12,'前提'!$C$57,IF(24&lt;=18,'前提'!$C$58,IF(24&lt;=24,'前提'!$C$59,IF(24&lt;=36,'前提'!$C$60,IF(24&lt;=48,'前提'!$C$61,'前提'!$C$62))))))</f>
        <v>5</v>
      </c>
      <c r="Z56" s="3">
        <f>IF(25&lt;=6,'前提'!$C$56,IF(25&lt;=12,'前提'!$C$57,IF(25&lt;=18,'前提'!$C$58,IF(25&lt;=24,'前提'!$C$59,IF(25&lt;=36,'前提'!$C$60,IF(25&lt;=48,'前提'!$C$61,'前提'!$C$62))))))</f>
        <v>7</v>
      </c>
      <c r="AA56" s="3">
        <f>IF(26&lt;=6,'前提'!$C$56,IF(26&lt;=12,'前提'!$C$57,IF(26&lt;=18,'前提'!$C$58,IF(26&lt;=24,'前提'!$C$59,IF(26&lt;=36,'前提'!$C$60,IF(26&lt;=48,'前提'!$C$61,'前提'!$C$62))))))</f>
        <v>7</v>
      </c>
      <c r="AB56" s="3">
        <f>IF(27&lt;=6,'前提'!$C$56,IF(27&lt;=12,'前提'!$C$57,IF(27&lt;=18,'前提'!$C$58,IF(27&lt;=24,'前提'!$C$59,IF(27&lt;=36,'前提'!$C$60,IF(27&lt;=48,'前提'!$C$61,'前提'!$C$62))))))</f>
        <v>7</v>
      </c>
      <c r="AC56" s="3">
        <f>IF(28&lt;=6,'前提'!$C$56,IF(28&lt;=12,'前提'!$C$57,IF(28&lt;=18,'前提'!$C$58,IF(28&lt;=24,'前提'!$C$59,IF(28&lt;=36,'前提'!$C$60,IF(28&lt;=48,'前提'!$C$61,'前提'!$C$62))))))</f>
        <v>7</v>
      </c>
      <c r="AD56" s="3">
        <f>IF(29&lt;=6,'前提'!$C$56,IF(29&lt;=12,'前提'!$C$57,IF(29&lt;=18,'前提'!$C$58,IF(29&lt;=24,'前提'!$C$59,IF(29&lt;=36,'前提'!$C$60,IF(29&lt;=48,'前提'!$C$61,'前提'!$C$62))))))</f>
        <v>7</v>
      </c>
      <c r="AE56" s="3">
        <f>IF(30&lt;=6,'前提'!$C$56,IF(30&lt;=12,'前提'!$C$57,IF(30&lt;=18,'前提'!$C$58,IF(30&lt;=24,'前提'!$C$59,IF(30&lt;=36,'前提'!$C$60,IF(30&lt;=48,'前提'!$C$61,'前提'!$C$62))))))</f>
        <v>7</v>
      </c>
      <c r="AF56" s="3">
        <f>IF(31&lt;=6,'前提'!$C$56,IF(31&lt;=12,'前提'!$C$57,IF(31&lt;=18,'前提'!$C$58,IF(31&lt;=24,'前提'!$C$59,IF(31&lt;=36,'前提'!$C$60,IF(31&lt;=48,'前提'!$C$61,'前提'!$C$62))))))</f>
        <v>7</v>
      </c>
      <c r="AG56" s="3">
        <f>IF(32&lt;=6,'前提'!$C$56,IF(32&lt;=12,'前提'!$C$57,IF(32&lt;=18,'前提'!$C$58,IF(32&lt;=24,'前提'!$C$59,IF(32&lt;=36,'前提'!$C$60,IF(32&lt;=48,'前提'!$C$61,'前提'!$C$62))))))</f>
        <v>7</v>
      </c>
      <c r="AH56" s="3">
        <f>IF(33&lt;=6,'前提'!$C$56,IF(33&lt;=12,'前提'!$C$57,IF(33&lt;=18,'前提'!$C$58,IF(33&lt;=24,'前提'!$C$59,IF(33&lt;=36,'前提'!$C$60,IF(33&lt;=48,'前提'!$C$61,'前提'!$C$62))))))</f>
        <v>7</v>
      </c>
      <c r="AI56" s="3">
        <f>IF(34&lt;=6,'前提'!$C$56,IF(34&lt;=12,'前提'!$C$57,IF(34&lt;=18,'前提'!$C$58,IF(34&lt;=24,'前提'!$C$59,IF(34&lt;=36,'前提'!$C$60,IF(34&lt;=48,'前提'!$C$61,'前提'!$C$62))))))</f>
        <v>7</v>
      </c>
      <c r="AJ56" s="3">
        <f>IF(35&lt;=6,'前提'!$C$56,IF(35&lt;=12,'前提'!$C$57,IF(35&lt;=18,'前提'!$C$58,IF(35&lt;=24,'前提'!$C$59,IF(35&lt;=36,'前提'!$C$60,IF(35&lt;=48,'前提'!$C$61,'前提'!$C$62))))))</f>
        <v>7</v>
      </c>
      <c r="AK56" s="3">
        <f>IF(36&lt;=6,'前提'!$C$56,IF(36&lt;=12,'前提'!$C$57,IF(36&lt;=18,'前提'!$C$58,IF(36&lt;=24,'前提'!$C$59,IF(36&lt;=36,'前提'!$C$60,IF(36&lt;=48,'前提'!$C$61,'前提'!$C$62))))))</f>
        <v>7</v>
      </c>
      <c r="AL56" s="3">
        <f>IF(37&lt;=6,'前提'!$C$56,IF(37&lt;=12,'前提'!$C$57,IF(37&lt;=18,'前提'!$C$58,IF(37&lt;=24,'前提'!$C$59,IF(37&lt;=36,'前提'!$C$60,IF(37&lt;=48,'前提'!$C$61,'前提'!$C$62))))))</f>
        <v>9</v>
      </c>
      <c r="AM56" s="3">
        <f>IF(38&lt;=6,'前提'!$C$56,IF(38&lt;=12,'前提'!$C$57,IF(38&lt;=18,'前提'!$C$58,IF(38&lt;=24,'前提'!$C$59,IF(38&lt;=36,'前提'!$C$60,IF(38&lt;=48,'前提'!$C$61,'前提'!$C$62))))))</f>
        <v>9</v>
      </c>
      <c r="AN56" s="3">
        <f>IF(39&lt;=6,'前提'!$C$56,IF(39&lt;=12,'前提'!$C$57,IF(39&lt;=18,'前提'!$C$58,IF(39&lt;=24,'前提'!$C$59,IF(39&lt;=36,'前提'!$C$60,IF(39&lt;=48,'前提'!$C$61,'前提'!$C$62))))))</f>
        <v>9</v>
      </c>
      <c r="AO56" s="3">
        <f>IF(40&lt;=6,'前提'!$C$56,IF(40&lt;=12,'前提'!$C$57,IF(40&lt;=18,'前提'!$C$58,IF(40&lt;=24,'前提'!$C$59,IF(40&lt;=36,'前提'!$C$60,IF(40&lt;=48,'前提'!$C$61,'前提'!$C$62))))))</f>
        <v>9</v>
      </c>
      <c r="AP56" s="3">
        <f>IF(41&lt;=6,'前提'!$C$56,IF(41&lt;=12,'前提'!$C$57,IF(41&lt;=18,'前提'!$C$58,IF(41&lt;=24,'前提'!$C$59,IF(41&lt;=36,'前提'!$C$60,IF(41&lt;=48,'前提'!$C$61,'前提'!$C$62))))))</f>
        <v>9</v>
      </c>
      <c r="AQ56" s="3">
        <f>IF(42&lt;=6,'前提'!$C$56,IF(42&lt;=12,'前提'!$C$57,IF(42&lt;=18,'前提'!$C$58,IF(42&lt;=24,'前提'!$C$59,IF(42&lt;=36,'前提'!$C$60,IF(42&lt;=48,'前提'!$C$61,'前提'!$C$62))))))</f>
        <v>9</v>
      </c>
      <c r="AR56" s="3">
        <f>IF(43&lt;=6,'前提'!$C$56,IF(43&lt;=12,'前提'!$C$57,IF(43&lt;=18,'前提'!$C$58,IF(43&lt;=24,'前提'!$C$59,IF(43&lt;=36,'前提'!$C$60,IF(43&lt;=48,'前提'!$C$61,'前提'!$C$62))))))</f>
        <v>9</v>
      </c>
      <c r="AS56" s="3">
        <f>IF(44&lt;=6,'前提'!$C$56,IF(44&lt;=12,'前提'!$C$57,IF(44&lt;=18,'前提'!$C$58,IF(44&lt;=24,'前提'!$C$59,IF(44&lt;=36,'前提'!$C$60,IF(44&lt;=48,'前提'!$C$61,'前提'!$C$62))))))</f>
        <v>9</v>
      </c>
      <c r="AT56" s="3">
        <f>IF(45&lt;=6,'前提'!$C$56,IF(45&lt;=12,'前提'!$C$57,IF(45&lt;=18,'前提'!$C$58,IF(45&lt;=24,'前提'!$C$59,IF(45&lt;=36,'前提'!$C$60,IF(45&lt;=48,'前提'!$C$61,'前提'!$C$62))))))</f>
        <v>9</v>
      </c>
      <c r="AU56" s="3">
        <f>IF(46&lt;=6,'前提'!$C$56,IF(46&lt;=12,'前提'!$C$57,IF(46&lt;=18,'前提'!$C$58,IF(46&lt;=24,'前提'!$C$59,IF(46&lt;=36,'前提'!$C$60,IF(46&lt;=48,'前提'!$C$61,'前提'!$C$62))))))</f>
        <v>9</v>
      </c>
      <c r="AV56" s="3">
        <f>IF(47&lt;=6,'前提'!$C$56,IF(47&lt;=12,'前提'!$C$57,IF(47&lt;=18,'前提'!$C$58,IF(47&lt;=24,'前提'!$C$59,IF(47&lt;=36,'前提'!$C$60,IF(47&lt;=48,'前提'!$C$61,'前提'!$C$62))))))</f>
        <v>9</v>
      </c>
      <c r="AW56" s="3">
        <f>IF(48&lt;=6,'前提'!$C$56,IF(48&lt;=12,'前提'!$C$57,IF(48&lt;=18,'前提'!$C$58,IF(48&lt;=24,'前提'!$C$59,IF(48&lt;=36,'前提'!$C$60,IF(48&lt;=48,'前提'!$C$61,'前提'!$C$62))))))</f>
        <v>9</v>
      </c>
      <c r="AX56" s="3">
        <f>IF(49&lt;=6,'前提'!$C$56,IF(49&lt;=12,'前提'!$C$57,IF(49&lt;=18,'前提'!$C$58,IF(49&lt;=24,'前提'!$C$59,IF(49&lt;=36,'前提'!$C$60,IF(49&lt;=48,'前提'!$C$61,'前提'!$C$62))))))</f>
        <v>10</v>
      </c>
      <c r="AY56" s="3">
        <f>IF(50&lt;=6,'前提'!$C$56,IF(50&lt;=12,'前提'!$C$57,IF(50&lt;=18,'前提'!$C$58,IF(50&lt;=24,'前提'!$C$59,IF(50&lt;=36,'前提'!$C$60,IF(50&lt;=48,'前提'!$C$61,'前提'!$C$62))))))</f>
        <v>10</v>
      </c>
      <c r="AZ56" s="3">
        <f>IF(51&lt;=6,'前提'!$C$56,IF(51&lt;=12,'前提'!$C$57,IF(51&lt;=18,'前提'!$C$58,IF(51&lt;=24,'前提'!$C$59,IF(51&lt;=36,'前提'!$C$60,IF(51&lt;=48,'前提'!$C$61,'前提'!$C$62))))))</f>
        <v>10</v>
      </c>
      <c r="BA56" s="3">
        <f>IF(52&lt;=6,'前提'!$C$56,IF(52&lt;=12,'前提'!$C$57,IF(52&lt;=18,'前提'!$C$58,IF(52&lt;=24,'前提'!$C$59,IF(52&lt;=36,'前提'!$C$60,IF(52&lt;=48,'前提'!$C$61,'前提'!$C$62))))))</f>
        <v>10</v>
      </c>
      <c r="BB56" s="3">
        <f>IF(53&lt;=6,'前提'!$C$56,IF(53&lt;=12,'前提'!$C$57,IF(53&lt;=18,'前提'!$C$58,IF(53&lt;=24,'前提'!$C$59,IF(53&lt;=36,'前提'!$C$60,IF(53&lt;=48,'前提'!$C$61,'前提'!$C$62))))))</f>
        <v>10</v>
      </c>
      <c r="BC56" s="3">
        <f>IF(54&lt;=6,'前提'!$C$56,IF(54&lt;=12,'前提'!$C$57,IF(54&lt;=18,'前提'!$C$58,IF(54&lt;=24,'前提'!$C$59,IF(54&lt;=36,'前提'!$C$60,IF(54&lt;=48,'前提'!$C$61,'前提'!$C$62))))))</f>
        <v>10</v>
      </c>
      <c r="BD56" s="3">
        <f>IF(55&lt;=6,'前提'!$C$56,IF(55&lt;=12,'前提'!$C$57,IF(55&lt;=18,'前提'!$C$58,IF(55&lt;=24,'前提'!$C$59,IF(55&lt;=36,'前提'!$C$60,IF(55&lt;=48,'前提'!$C$61,'前提'!$C$62))))))</f>
        <v>10</v>
      </c>
      <c r="BE56" s="3">
        <f>IF(56&lt;=6,'前提'!$C$56,IF(56&lt;=12,'前提'!$C$57,IF(56&lt;=18,'前提'!$C$58,IF(56&lt;=24,'前提'!$C$59,IF(56&lt;=36,'前提'!$C$60,IF(56&lt;=48,'前提'!$C$61,'前提'!$C$62))))))</f>
        <v>10</v>
      </c>
      <c r="BF56" s="3">
        <f>IF(57&lt;=6,'前提'!$C$56,IF(57&lt;=12,'前提'!$C$57,IF(57&lt;=18,'前提'!$C$58,IF(57&lt;=24,'前提'!$C$59,IF(57&lt;=36,'前提'!$C$60,IF(57&lt;=48,'前提'!$C$61,'前提'!$C$62))))))</f>
        <v>10</v>
      </c>
      <c r="BG56" s="3">
        <f>IF(58&lt;=6,'前提'!$C$56,IF(58&lt;=12,'前提'!$C$57,IF(58&lt;=18,'前提'!$C$58,IF(58&lt;=24,'前提'!$C$59,IF(58&lt;=36,'前提'!$C$60,IF(58&lt;=48,'前提'!$C$61,'前提'!$C$62))))))</f>
        <v>10</v>
      </c>
      <c r="BH56" s="3">
        <f>IF(59&lt;=6,'前提'!$C$56,IF(59&lt;=12,'前提'!$C$57,IF(59&lt;=18,'前提'!$C$58,IF(59&lt;=24,'前提'!$C$59,IF(59&lt;=36,'前提'!$C$60,IF(59&lt;=48,'前提'!$C$61,'前提'!$C$62))))))</f>
        <v>10</v>
      </c>
      <c r="BI56" s="3">
        <f>IF(60&lt;=6,'前提'!$C$56,IF(60&lt;=12,'前提'!$C$57,IF(60&lt;=18,'前提'!$C$58,IF(60&lt;=24,'前提'!$C$59,IF(60&lt;=36,'前提'!$C$60,IF(60&lt;=48,'前提'!$C$61,'前提'!$C$62))))))</f>
        <v>10</v>
      </c>
    </row>
    <row r="57" ht="15.75" customHeight="1">
      <c r="A57" s="20" t="s">
        <v>214</v>
      </c>
      <c r="B57" s="26">
        <f t="shared" ref="B57:BI57" si="14">ROUND(SUM(B51:B56),0)</f>
        <v>2</v>
      </c>
      <c r="C57" s="26">
        <f t="shared" si="14"/>
        <v>2</v>
      </c>
      <c r="D57" s="26">
        <f t="shared" si="14"/>
        <v>2</v>
      </c>
      <c r="E57" s="26">
        <f t="shared" si="14"/>
        <v>2</v>
      </c>
      <c r="F57" s="26">
        <f t="shared" si="14"/>
        <v>2</v>
      </c>
      <c r="G57" s="26">
        <f t="shared" si="14"/>
        <v>2</v>
      </c>
      <c r="H57" s="26">
        <f t="shared" si="14"/>
        <v>6</v>
      </c>
      <c r="I57" s="26">
        <f t="shared" si="14"/>
        <v>6</v>
      </c>
      <c r="J57" s="26">
        <f t="shared" si="14"/>
        <v>6</v>
      </c>
      <c r="K57" s="26">
        <f t="shared" si="14"/>
        <v>7</v>
      </c>
      <c r="L57" s="26">
        <f t="shared" si="14"/>
        <v>7</v>
      </c>
      <c r="M57" s="26">
        <f t="shared" si="14"/>
        <v>7</v>
      </c>
      <c r="N57" s="26">
        <f t="shared" si="14"/>
        <v>11</v>
      </c>
      <c r="O57" s="26">
        <f t="shared" si="14"/>
        <v>11</v>
      </c>
      <c r="P57" s="26">
        <f t="shared" si="14"/>
        <v>11</v>
      </c>
      <c r="Q57" s="26">
        <f t="shared" si="14"/>
        <v>11</v>
      </c>
      <c r="R57" s="26">
        <f t="shared" si="14"/>
        <v>12</v>
      </c>
      <c r="S57" s="26">
        <f t="shared" si="14"/>
        <v>12</v>
      </c>
      <c r="T57" s="26">
        <f t="shared" si="14"/>
        <v>14</v>
      </c>
      <c r="U57" s="26">
        <f t="shared" si="14"/>
        <v>14</v>
      </c>
      <c r="V57" s="26">
        <f t="shared" si="14"/>
        <v>14</v>
      </c>
      <c r="W57" s="26">
        <f t="shared" si="14"/>
        <v>14</v>
      </c>
      <c r="X57" s="26">
        <f t="shared" si="14"/>
        <v>15</v>
      </c>
      <c r="Y57" s="26">
        <f t="shared" si="14"/>
        <v>15</v>
      </c>
      <c r="Z57" s="26">
        <f t="shared" si="14"/>
        <v>20</v>
      </c>
      <c r="AA57" s="26">
        <f t="shared" si="14"/>
        <v>20</v>
      </c>
      <c r="AB57" s="26">
        <f t="shared" si="14"/>
        <v>20</v>
      </c>
      <c r="AC57" s="26">
        <f t="shared" si="14"/>
        <v>21</v>
      </c>
      <c r="AD57" s="26">
        <f t="shared" si="14"/>
        <v>21</v>
      </c>
      <c r="AE57" s="26">
        <f t="shared" si="14"/>
        <v>21</v>
      </c>
      <c r="AF57" s="26">
        <f t="shared" si="14"/>
        <v>21</v>
      </c>
      <c r="AG57" s="26">
        <f t="shared" si="14"/>
        <v>21</v>
      </c>
      <c r="AH57" s="26">
        <f t="shared" si="14"/>
        <v>22</v>
      </c>
      <c r="AI57" s="26">
        <f t="shared" si="14"/>
        <v>22</v>
      </c>
      <c r="AJ57" s="26">
        <f t="shared" si="14"/>
        <v>22</v>
      </c>
      <c r="AK57" s="26">
        <f t="shared" si="14"/>
        <v>22</v>
      </c>
      <c r="AL57" s="26">
        <f t="shared" si="14"/>
        <v>25</v>
      </c>
      <c r="AM57" s="26">
        <f t="shared" si="14"/>
        <v>26</v>
      </c>
      <c r="AN57" s="26">
        <f t="shared" si="14"/>
        <v>26</v>
      </c>
      <c r="AO57" s="26">
        <f t="shared" si="14"/>
        <v>26</v>
      </c>
      <c r="AP57" s="26">
        <f t="shared" si="14"/>
        <v>26</v>
      </c>
      <c r="AQ57" s="26">
        <f t="shared" si="14"/>
        <v>26</v>
      </c>
      <c r="AR57" s="26">
        <f t="shared" si="14"/>
        <v>27</v>
      </c>
      <c r="AS57" s="26">
        <f t="shared" si="14"/>
        <v>27</v>
      </c>
      <c r="AT57" s="26">
        <f t="shared" si="14"/>
        <v>27</v>
      </c>
      <c r="AU57" s="26">
        <f t="shared" si="14"/>
        <v>27</v>
      </c>
      <c r="AV57" s="26">
        <f t="shared" si="14"/>
        <v>27</v>
      </c>
      <c r="AW57" s="26">
        <f t="shared" si="14"/>
        <v>28</v>
      </c>
      <c r="AX57" s="26">
        <f t="shared" si="14"/>
        <v>31</v>
      </c>
      <c r="AY57" s="26">
        <f t="shared" si="14"/>
        <v>31</v>
      </c>
      <c r="AZ57" s="26">
        <f t="shared" si="14"/>
        <v>31</v>
      </c>
      <c r="BA57" s="26">
        <f t="shared" si="14"/>
        <v>32</v>
      </c>
      <c r="BB57" s="26">
        <f t="shared" si="14"/>
        <v>32</v>
      </c>
      <c r="BC57" s="26">
        <f t="shared" si="14"/>
        <v>32</v>
      </c>
      <c r="BD57" s="26">
        <f t="shared" si="14"/>
        <v>32</v>
      </c>
      <c r="BE57" s="26">
        <f t="shared" si="14"/>
        <v>33</v>
      </c>
      <c r="BF57" s="26">
        <f t="shared" si="14"/>
        <v>33</v>
      </c>
      <c r="BG57" s="26">
        <f t="shared" si="14"/>
        <v>33</v>
      </c>
      <c r="BH57" s="26">
        <f t="shared" si="14"/>
        <v>33</v>
      </c>
      <c r="BI57" s="26">
        <f t="shared" si="14"/>
        <v>33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BI1000">
    <cfRule type="cellIs" dxfId="0" priority="1" operator="less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6" width="16.0"/>
  </cols>
  <sheetData>
    <row r="1">
      <c r="A1" s="14" t="s">
        <v>215</v>
      </c>
    </row>
    <row r="3">
      <c r="B3" s="16" t="s">
        <v>216</v>
      </c>
      <c r="C3" s="16" t="s">
        <v>217</v>
      </c>
      <c r="D3" s="16" t="s">
        <v>218</v>
      </c>
      <c r="E3" s="16" t="s">
        <v>219</v>
      </c>
      <c r="F3" s="16" t="s">
        <v>220</v>
      </c>
    </row>
    <row r="4">
      <c r="A4" s="2" t="s">
        <v>172</v>
      </c>
      <c r="B4" s="2"/>
      <c r="C4" s="2"/>
      <c r="D4" s="2"/>
      <c r="E4" s="2"/>
      <c r="F4" s="2"/>
    </row>
    <row r="5">
      <c r="A5" s="18" t="s">
        <v>221</v>
      </c>
      <c r="B5" s="19">
        <f>'月次事業計画'!M10</f>
        <v>41</v>
      </c>
      <c r="C5" s="19">
        <f>'月次事業計画'!Y10</f>
        <v>97</v>
      </c>
      <c r="D5" s="19">
        <f>'月次事業計画'!AK10</f>
        <v>167</v>
      </c>
      <c r="E5" s="19">
        <f>'月次事業計画'!AW10</f>
        <v>244</v>
      </c>
      <c r="F5" s="19">
        <f>'月次事業計画'!BI10</f>
        <v>325</v>
      </c>
    </row>
    <row r="6">
      <c r="A6" s="18" t="s">
        <v>222</v>
      </c>
      <c r="B6" s="19">
        <f>'月次事業計画'!M14</f>
        <v>6</v>
      </c>
      <c r="C6" s="19">
        <f>'月次事業計画'!Y14</f>
        <v>42</v>
      </c>
      <c r="D6" s="19">
        <f>'月次事業計画'!AK14</f>
        <v>117</v>
      </c>
      <c r="E6" s="19">
        <f>'月次事業計画'!AW14</f>
        <v>224</v>
      </c>
      <c r="F6" s="19">
        <f>'月次事業計画'!BI14</f>
        <v>363</v>
      </c>
    </row>
    <row r="8">
      <c r="A8" s="2" t="s">
        <v>180</v>
      </c>
      <c r="B8" s="2"/>
      <c r="C8" s="2"/>
      <c r="D8" s="2"/>
      <c r="E8" s="2"/>
      <c r="F8" s="2"/>
    </row>
    <row r="9">
      <c r="A9" s="18" t="s">
        <v>223</v>
      </c>
      <c r="B9" s="19">
        <f>'月次事業計画'!M21</f>
        <v>1371500</v>
      </c>
      <c r="C9" s="19">
        <f>'月次事業計画'!Y21</f>
        <v>9515500</v>
      </c>
      <c r="D9" s="19">
        <f>'月次事業計画'!AK21</f>
        <v>25320500</v>
      </c>
      <c r="E9" s="19">
        <f>'月次事業計画'!AW21</f>
        <v>47606000</v>
      </c>
      <c r="F9" s="19">
        <f>'月次事業計画'!BI21</f>
        <v>76337500</v>
      </c>
    </row>
    <row r="10">
      <c r="A10" s="18" t="s">
        <v>224</v>
      </c>
      <c r="B10" s="19">
        <f t="shared" ref="B10:F10" si="1">B9*12</f>
        <v>16458000</v>
      </c>
      <c r="C10" s="19">
        <f t="shared" si="1"/>
        <v>114186000</v>
      </c>
      <c r="D10" s="19">
        <f t="shared" si="1"/>
        <v>303846000</v>
      </c>
      <c r="E10" s="19">
        <f t="shared" si="1"/>
        <v>571272000</v>
      </c>
      <c r="F10" s="19">
        <f t="shared" si="1"/>
        <v>916050000</v>
      </c>
    </row>
    <row r="11">
      <c r="A11" s="20" t="s">
        <v>225</v>
      </c>
      <c r="B11" s="21">
        <f>SUM('月次事業計画'!B22:M22)</f>
        <v>13780500</v>
      </c>
      <c r="C11" s="21">
        <f>SUM('月次事業計画'!N22:Y22)</f>
        <v>79402000</v>
      </c>
      <c r="D11" s="21">
        <f>SUM('月次事業計画'!Z22:AK22)</f>
        <v>232437000</v>
      </c>
      <c r="E11" s="21">
        <f>SUM('月次事業計画'!AL22:AW22)</f>
        <v>469003000</v>
      </c>
      <c r="F11" s="21">
        <f>SUM('月次事業計画'!AX22:BI22)</f>
        <v>784374000</v>
      </c>
    </row>
    <row r="13">
      <c r="A13" s="2" t="s">
        <v>187</v>
      </c>
      <c r="B13" s="2"/>
      <c r="C13" s="2"/>
      <c r="D13" s="2"/>
      <c r="E13" s="2"/>
      <c r="F13" s="2"/>
    </row>
    <row r="14">
      <c r="A14" s="15" t="s">
        <v>226</v>
      </c>
      <c r="B14" s="19">
        <f>SUM('月次事業計画'!B35:M35)</f>
        <v>20807676</v>
      </c>
      <c r="C14" s="19">
        <f>SUM('月次事業計画'!N35:Y35)</f>
        <v>52953464</v>
      </c>
      <c r="D14" s="19">
        <f>SUM('月次事業計画'!Z35:AK35)</f>
        <v>86561176</v>
      </c>
      <c r="E14" s="19">
        <f>SUM('月次事業計画'!AL35:AW35)</f>
        <v>106435044</v>
      </c>
      <c r="F14" s="19">
        <f>SUM('月次事業計画'!AX35:BI35)</f>
        <v>127264432</v>
      </c>
    </row>
    <row r="16">
      <c r="A16" s="2" t="s">
        <v>197</v>
      </c>
      <c r="B16" s="2"/>
      <c r="C16" s="2"/>
      <c r="D16" s="2"/>
      <c r="E16" s="2"/>
      <c r="F16" s="2"/>
    </row>
    <row r="17">
      <c r="A17" s="15" t="s">
        <v>227</v>
      </c>
      <c r="B17" s="22">
        <f t="shared" ref="B17:F17" si="2">B11-B14</f>
        <v>-7027176</v>
      </c>
      <c r="C17" s="22">
        <f t="shared" si="2"/>
        <v>26448536</v>
      </c>
      <c r="D17" s="22">
        <f t="shared" si="2"/>
        <v>145875824</v>
      </c>
      <c r="E17" s="22">
        <f t="shared" si="2"/>
        <v>362567956</v>
      </c>
      <c r="F17" s="22">
        <f t="shared" si="2"/>
        <v>657109568</v>
      </c>
    </row>
    <row r="18">
      <c r="A18" s="9" t="s">
        <v>199</v>
      </c>
      <c r="B18" s="23">
        <f t="shared" ref="B18:F18" si="3">IF(B11&lt;&gt;0,B17/B11,0)</f>
        <v>-0.5099362142</v>
      </c>
      <c r="C18" s="23">
        <f t="shared" si="3"/>
        <v>0.3330965971</v>
      </c>
      <c r="D18" s="23">
        <f t="shared" si="3"/>
        <v>0.6275929564</v>
      </c>
      <c r="E18" s="23">
        <f t="shared" si="3"/>
        <v>0.7730610593</v>
      </c>
      <c r="F18" s="23">
        <f t="shared" si="3"/>
        <v>0.8377503181</v>
      </c>
    </row>
    <row r="19">
      <c r="A19" s="20" t="s">
        <v>200</v>
      </c>
      <c r="B19" s="27">
        <f>'月次事業計画'!M40</f>
        <v>-7027176</v>
      </c>
      <c r="C19" s="27">
        <f>'月次事業計画'!Y40</f>
        <v>19421360</v>
      </c>
      <c r="D19" s="27">
        <f>'月次事業計画'!AK40</f>
        <v>165297184</v>
      </c>
      <c r="E19" s="27">
        <f>'月次事業計画'!AW40</f>
        <v>527865140</v>
      </c>
      <c r="F19" s="27">
        <f>'月次事業計画'!BI40</f>
        <v>1184974708</v>
      </c>
    </row>
    <row r="21" ht="15.75" customHeight="1">
      <c r="A21" s="15" t="s">
        <v>228</v>
      </c>
      <c r="B21" s="19">
        <f>'月次事業計画'!M47</f>
        <v>30397824</v>
      </c>
      <c r="C21" s="19">
        <f>'月次事業計画'!Y47</f>
        <v>156771360</v>
      </c>
      <c r="D21" s="19">
        <f>'月次事業計画'!AK47</f>
        <v>302572184</v>
      </c>
      <c r="E21" s="19">
        <f>'月次事業計画'!AW47</f>
        <v>665065140</v>
      </c>
      <c r="F21" s="19">
        <f>'月次事業計画'!BI47</f>
        <v>1322099708</v>
      </c>
    </row>
    <row r="22" ht="15.75" customHeight="1">
      <c r="A22" s="15" t="s">
        <v>229</v>
      </c>
      <c r="B22" s="28">
        <f>'月次事業計画'!M57</f>
        <v>7</v>
      </c>
      <c r="C22" s="28">
        <f>'月次事業計画'!Y57</f>
        <v>15</v>
      </c>
      <c r="D22" s="28">
        <f>'月次事業計画'!AK57</f>
        <v>22</v>
      </c>
      <c r="E22" s="28">
        <f>'月次事業計画'!AW57</f>
        <v>28</v>
      </c>
      <c r="F22" s="28">
        <f>'月次事業計画'!BI57</f>
        <v>33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4" width="18.0"/>
    <col customWidth="1" min="5" max="6" width="8.71"/>
  </cols>
  <sheetData>
    <row r="1">
      <c r="A1" s="15" t="s">
        <v>230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0"/>
      <c r="B3" s="31" t="s">
        <v>231</v>
      </c>
      <c r="C3" s="31" t="s">
        <v>232</v>
      </c>
      <c r="D3" s="30" t="s">
        <v>233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9" t="s">
        <v>234</v>
      </c>
      <c r="B4" s="29"/>
      <c r="C4" s="17">
        <f>'前提'!B76</f>
        <v>170000000</v>
      </c>
      <c r="D4" s="17">
        <f>'前提'!B84</f>
        <v>500000000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9" t="s">
        <v>235</v>
      </c>
      <c r="B5" s="17">
        <f>'前提'!B75</f>
        <v>1000000</v>
      </c>
      <c r="C5" s="17">
        <f>'前提'!B77+'前提'!B78+'前提'!B79</f>
        <v>32500000</v>
      </c>
      <c r="D5" s="17">
        <f>'前提'!B85</f>
        <v>100000000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9" t="s">
        <v>236</v>
      </c>
      <c r="B6" s="29"/>
      <c r="C6" s="17">
        <f>'前提'!B80</f>
        <v>5000000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15" t="s">
        <v>237</v>
      </c>
      <c r="B7" s="29"/>
      <c r="C7" s="19">
        <f t="shared" ref="C7:D7" si="1">C4+C5</f>
        <v>202500000</v>
      </c>
      <c r="D7" s="19">
        <f t="shared" si="1"/>
        <v>600000000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2" t="s">
        <v>238</v>
      </c>
      <c r="B9" s="2"/>
      <c r="C9" s="2"/>
      <c r="D9" s="2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9" t="s">
        <v>239</v>
      </c>
      <c r="B10" s="29"/>
      <c r="C10" s="32">
        <f>'前提'!B76/'前提'!B74</f>
        <v>170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3" t="s">
        <v>240</v>
      </c>
      <c r="B11" s="29"/>
      <c r="C11" s="17">
        <f>ROUNDDOWN('前提'!B77/C10,0)</f>
        <v>176470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9" t="s">
        <v>241</v>
      </c>
      <c r="B12" s="29"/>
      <c r="C12" s="17">
        <f>ROUNDDOWN('前提'!B78/C10,0)</f>
        <v>11764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9" t="s">
        <v>242</v>
      </c>
      <c r="B13" s="29"/>
      <c r="C13" s="17">
        <f>ROUNDDOWN('前提'!B79/C10,0)</f>
        <v>2941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15" t="s">
        <v>243</v>
      </c>
      <c r="B14" s="29"/>
      <c r="C14" s="19">
        <f>'前提'!B74+C11+C12+C13</f>
        <v>1191175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3" t="s">
        <v>244</v>
      </c>
      <c r="B15" s="29"/>
      <c r="C15" s="29"/>
      <c r="D15" s="32">
        <f>'前提'!B84/C14</f>
        <v>419.7536046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3" t="s">
        <v>245</v>
      </c>
      <c r="B16" s="29"/>
      <c r="C16" s="29"/>
      <c r="D16" s="17">
        <f>ROUNDDOWN('前提'!B85/D15,0)</f>
        <v>238235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3" t="s">
        <v>246</v>
      </c>
      <c r="B17" s="29"/>
      <c r="C17" s="29"/>
      <c r="D17" s="17">
        <f>ROUNDDOWN((C14+D16)*'前提'!B86/(1-'前提'!B86),0)</f>
        <v>102647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18" t="s">
        <v>247</v>
      </c>
      <c r="B18" s="29"/>
      <c r="C18" s="29"/>
      <c r="D18" s="19">
        <f>C14+D16+D17</f>
        <v>1532057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2" t="s">
        <v>248</v>
      </c>
      <c r="B20" s="2"/>
      <c r="C20" s="2"/>
      <c r="D20" s="2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3" t="s">
        <v>249</v>
      </c>
      <c r="B21" s="29"/>
      <c r="C21" s="23">
        <f>'前提'!B74/C14</f>
        <v>0.8395072093</v>
      </c>
      <c r="D21" s="23">
        <f>'前提'!B74/D18</f>
        <v>0.6527172292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3" t="s">
        <v>250</v>
      </c>
      <c r="B22" s="29"/>
      <c r="C22" s="23">
        <f>C11/C14</f>
        <v>0.1481478372</v>
      </c>
      <c r="D22" s="23">
        <f>C11/D18</f>
        <v>0.1151850094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9" t="s">
        <v>251</v>
      </c>
      <c r="B23" s="29"/>
      <c r="C23" s="23">
        <f>C12/C14</f>
        <v>0.00987596281</v>
      </c>
      <c r="D23" s="23">
        <f>C12/D18</f>
        <v>0.007678565484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9" t="s">
        <v>252</v>
      </c>
      <c r="B24" s="29"/>
      <c r="C24" s="23">
        <f>C13/C14</f>
        <v>0.002468990702</v>
      </c>
      <c r="D24" s="23">
        <f>C13/D18</f>
        <v>0.001919641371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3" t="s">
        <v>253</v>
      </c>
      <c r="B25" s="29"/>
      <c r="C25" s="29"/>
      <c r="D25" s="23">
        <f>D17/D18</f>
        <v>0.06699946542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3" t="s">
        <v>254</v>
      </c>
      <c r="B26" s="29"/>
      <c r="C26" s="29"/>
      <c r="D26" s="23">
        <f>D16/D18</f>
        <v>0.1555000891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15" t="s">
        <v>214</v>
      </c>
      <c r="B27" s="29"/>
      <c r="C27" s="23">
        <f t="shared" ref="C27:D27" si="2">SUM(C21:C26)</f>
        <v>1</v>
      </c>
      <c r="D27" s="23">
        <f t="shared" si="2"/>
        <v>1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33" t="s">
        <v>255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33" t="s">
        <v>256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33" t="s">
        <v>257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33" t="s">
        <v>258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33" t="s">
        <v>259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33" t="s">
        <v>250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33" t="s">
        <v>260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33" t="s">
        <v>261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6.0"/>
    <col customWidth="1" min="3" max="3" width="12.0"/>
    <col customWidth="1" min="4" max="4" width="36.0"/>
    <col customWidth="1" min="5" max="6" width="8.71"/>
  </cols>
  <sheetData>
    <row r="1">
      <c r="A1" s="14" t="s">
        <v>262</v>
      </c>
    </row>
    <row r="2">
      <c r="A2" s="9" t="s">
        <v>263</v>
      </c>
      <c r="B2" s="19">
        <f>'前提'!B77+'前提'!B78+'前提'!B79+'前提'!B80</f>
        <v>37500000</v>
      </c>
    </row>
    <row r="4">
      <c r="A4" s="31" t="s">
        <v>264</v>
      </c>
      <c r="B4" s="30" t="s">
        <v>265</v>
      </c>
      <c r="C4" s="31" t="s">
        <v>266</v>
      </c>
      <c r="D4" s="31" t="s">
        <v>267</v>
      </c>
    </row>
    <row r="5">
      <c r="A5" s="3" t="s">
        <v>268</v>
      </c>
      <c r="B5" s="17">
        <f>SUM('月次事業計画'!B25:S25)</f>
        <v>5400000</v>
      </c>
      <c r="C5" s="23">
        <f>B5/B15</f>
        <v>0.1215320055</v>
      </c>
      <c r="D5" s="5"/>
    </row>
    <row r="6">
      <c r="A6" s="9" t="s">
        <v>63</v>
      </c>
      <c r="B6" s="17">
        <f>SUM('月次事業計画'!B26:S26)</f>
        <v>7335000</v>
      </c>
      <c r="C6" s="23">
        <f>B6/B15</f>
        <v>0.1650809741</v>
      </c>
      <c r="D6" s="5" t="s">
        <v>32</v>
      </c>
    </row>
    <row r="7">
      <c r="A7" s="3" t="s">
        <v>269</v>
      </c>
      <c r="B7" s="17">
        <f>SUM('月次事業計画'!B27:S27)</f>
        <v>8050000</v>
      </c>
      <c r="C7" s="23">
        <f>B7/B15</f>
        <v>0.1811727118</v>
      </c>
      <c r="D7" s="5" t="s">
        <v>270</v>
      </c>
    </row>
    <row r="8">
      <c r="A8" s="9" t="s">
        <v>190</v>
      </c>
      <c r="B8" s="17">
        <f>SUM('月次事業計画'!B28:S28)</f>
        <v>3600000</v>
      </c>
      <c r="C8" s="23">
        <f>B8/B15</f>
        <v>0.08102133697</v>
      </c>
      <c r="D8" s="5" t="s">
        <v>32</v>
      </c>
    </row>
    <row r="9">
      <c r="A9" s="3" t="s">
        <v>271</v>
      </c>
      <c r="B9" s="17">
        <f>SUM('月次事業計画'!B29:S29)</f>
        <v>7200000</v>
      </c>
      <c r="C9" s="23">
        <f>B9/B15</f>
        <v>0.1620426739</v>
      </c>
      <c r="D9" s="5"/>
    </row>
    <row r="10">
      <c r="A10" s="3" t="s">
        <v>272</v>
      </c>
      <c r="B10" s="17">
        <f>SUM('月次事業計画'!B30:S30)</f>
        <v>7200000</v>
      </c>
      <c r="C10" s="23">
        <f>B10/B15</f>
        <v>0.1620426739</v>
      </c>
      <c r="D10" s="5"/>
    </row>
    <row r="11">
      <c r="A11" s="3" t="s">
        <v>273</v>
      </c>
      <c r="B11" s="17">
        <f>SUM('月次事業計画'!B31:S31)</f>
        <v>7740</v>
      </c>
      <c r="C11" s="23">
        <f>B11/B15</f>
        <v>0.0001741958745</v>
      </c>
      <c r="D11" s="6" t="s">
        <v>274</v>
      </c>
    </row>
    <row r="12">
      <c r="A12" s="9" t="s">
        <v>275</v>
      </c>
      <c r="B12" s="17">
        <f>SUM('月次事業計画'!B32:S32)</f>
        <v>240000</v>
      </c>
      <c r="C12" s="23">
        <f>B12/B15</f>
        <v>0.005401422465</v>
      </c>
      <c r="D12" s="6" t="s">
        <v>276</v>
      </c>
    </row>
    <row r="13">
      <c r="A13" s="9" t="s">
        <v>277</v>
      </c>
      <c r="B13" s="17">
        <f>SUM('月次事業計画'!B33:S33)</f>
        <v>1800000</v>
      </c>
      <c r="C13" s="23">
        <f>B13/B15</f>
        <v>0.04051066848</v>
      </c>
      <c r="D13" s="5"/>
    </row>
    <row r="14">
      <c r="A14" s="9" t="s">
        <v>278</v>
      </c>
      <c r="B14" s="17">
        <f>SUM('月次事業計画'!B34:S34)</f>
        <v>3600000</v>
      </c>
      <c r="C14" s="23">
        <f>B14/B15</f>
        <v>0.08102133697</v>
      </c>
      <c r="D14" s="5" t="s">
        <v>279</v>
      </c>
    </row>
    <row r="15">
      <c r="A15" s="15" t="s">
        <v>214</v>
      </c>
      <c r="B15" s="19">
        <f>SUM(B5:B14)</f>
        <v>44432740</v>
      </c>
    </row>
    <row r="16">
      <c r="A16" s="9"/>
      <c r="B16" s="17"/>
      <c r="C16" s="23"/>
    </row>
    <row r="17">
      <c r="A17" s="9" t="s">
        <v>280</v>
      </c>
      <c r="B17" s="17">
        <f>SUM('月次事業計画'!B22:S22)</f>
        <v>40652000</v>
      </c>
      <c r="C17" s="23"/>
    </row>
    <row r="18">
      <c r="A18" s="9" t="s">
        <v>281</v>
      </c>
      <c r="B18" s="17">
        <f>B15-B17</f>
        <v>3780740</v>
      </c>
      <c r="C18" s="23"/>
    </row>
    <row r="21" ht="15.75" customHeight="1">
      <c r="A21" s="2" t="s">
        <v>282</v>
      </c>
      <c r="B21" s="2"/>
      <c r="C21" s="2"/>
      <c r="D21" s="2"/>
    </row>
    <row r="22" ht="15.75" customHeight="1">
      <c r="A22" s="3" t="s">
        <v>283</v>
      </c>
      <c r="B22" s="17">
        <f>AVERAGE('月次事業計画'!B35:G35)</f>
        <v>1132572</v>
      </c>
    </row>
    <row r="23" ht="15.75" customHeight="1">
      <c r="A23" s="3" t="s">
        <v>284</v>
      </c>
      <c r="B23" s="17">
        <f>AVERAGE('月次事業計画'!H35:M35)</f>
        <v>2335374</v>
      </c>
    </row>
    <row r="24" ht="15.75" customHeight="1">
      <c r="A24" s="15" t="s">
        <v>285</v>
      </c>
      <c r="B24" s="34">
        <f>B2/B22</f>
        <v>33.11047774</v>
      </c>
    </row>
    <row r="25" ht="15.75" customHeight="1">
      <c r="A25" s="3" t="s">
        <v>286</v>
      </c>
      <c r="B25" s="17">
        <f>'月次事業計画'!M47</f>
        <v>30397824</v>
      </c>
    </row>
    <row r="26" ht="15.75" customHeight="1">
      <c r="A26" s="3" t="s">
        <v>287</v>
      </c>
      <c r="B26" s="17">
        <f>'月次事業計画'!S47</f>
        <v>33606760</v>
      </c>
    </row>
    <row r="27" ht="15.75" customHeight="1">
      <c r="A27" s="3" t="s">
        <v>288</v>
      </c>
      <c r="B27" s="17">
        <f>'月次事業計画'!Y47</f>
        <v>156771360</v>
      </c>
    </row>
    <row r="28" ht="15.75" customHeight="1">
      <c r="A28" s="3" t="s">
        <v>289</v>
      </c>
      <c r="B28" s="17">
        <f>'月次事業計画'!AK47</f>
        <v>302572184</v>
      </c>
    </row>
    <row r="29" ht="15.75" customHeight="1">
      <c r="A29" s="3" t="s">
        <v>290</v>
      </c>
      <c r="B29" s="17">
        <f>'月次事業計画'!AW47</f>
        <v>665065140</v>
      </c>
    </row>
    <row r="30" ht="15.75" customHeight="1">
      <c r="A30" s="3" t="s">
        <v>291</v>
      </c>
      <c r="B30" s="17">
        <f>'月次事業計画'!BI47</f>
        <v>1322099708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2026-04-14T00:47:06Z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