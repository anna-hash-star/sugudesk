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プラン別シミュレーション" sheetId="2" state="visible" r:id="rId2"/>
    <sheet name="感度分析マトリクス" sheetId="3" state="visible" r:id="rId3"/>
    <sheet name="交渉シナリオ比較" sheetId="4" state="visible" r:id="rId4"/>
    <sheet name="ギミックROI分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0.0&quot;倍&quot;"/>
    <numFmt numFmtId="167" formatCode="0.0&quot;ヶ月&quot;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2" fillId="4" borderId="0" pivotButton="0" quotePrefix="0" xfId="0"/>
    <xf numFmtId="0" fontId="0" fillId="4" borderId="0" pivotButton="0" quotePrefix="0" xfId="0"/>
    <xf numFmtId="165" fontId="3" fillId="5" borderId="0" pivotButton="0" quotePrefix="0" xfId="0"/>
    <xf numFmtId="164" fontId="0" fillId="5" borderId="0" pivotButton="0" quotePrefix="0" xfId="0"/>
    <xf numFmtId="3" fontId="0" fillId="5" borderId="0" pivotButton="0" quotePrefix="0" xfId="0"/>
    <xf numFmtId="3" fontId="3" fillId="6" borderId="0" pivotButton="0" quotePrefix="0" xfId="0"/>
    <xf numFmtId="0" fontId="3" fillId="3" borderId="0" pivotButton="0" quotePrefix="0" xfId="0"/>
    <xf numFmtId="3" fontId="0" fillId="6" borderId="0" pivotButton="0" quotePrefix="0" xfId="0"/>
    <xf numFmtId="0" fontId="2" fillId="7" borderId="0" pivotButton="0" quotePrefix="0" xfId="0"/>
    <xf numFmtId="0" fontId="0" fillId="7" borderId="0" pivotButton="0" quotePrefix="0" xfId="0"/>
    <xf numFmtId="3" fontId="3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3" fillId="0" borderId="0" pivotButton="0" quotePrefix="0" xfId="0"/>
    <xf numFmtId="165" fontId="3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6" fontId="3" fillId="0" borderId="0" pivotButton="0" quotePrefix="0" xfId="0"/>
    <xf numFmtId="166" fontId="3" fillId="6" borderId="0" pivotButton="0" quotePrefix="0" xfId="0"/>
    <xf numFmtId="166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35" customWidth="1" min="5" max="5"/>
  </cols>
  <sheetData>
    <row r="1">
      <c r="A1" s="1" t="inlineStr">
        <is>
          <t>ギミック提携 経済条件シミュレーション 前提</t>
        </is>
      </c>
    </row>
    <row r="3">
      <c r="A3" s="2" t="inlineStr">
        <is>
          <t>【プラン情報】</t>
        </is>
      </c>
      <c r="B3" s="3" t="n"/>
      <c r="C3" s="3" t="n"/>
      <c r="D3" s="3" t="n"/>
      <c r="E3" s="3" t="n"/>
    </row>
    <row r="4">
      <c r="A4" t="inlineStr">
        <is>
          <t>プラン</t>
        </is>
      </c>
      <c r="B4" s="4" t="inlineStr">
        <is>
          <t>月額(¥)</t>
        </is>
      </c>
      <c r="C4" s="4" t="inlineStr">
        <is>
          <t>初期費用(¥)</t>
        </is>
      </c>
      <c r="D4" s="4" t="inlineStr">
        <is>
          <t>メンテh/月</t>
        </is>
      </c>
      <c r="E4" s="4" t="inlineStr">
        <is>
          <t>構築h</t>
        </is>
      </c>
    </row>
    <row r="5">
      <c r="A5" t="inlineStr">
        <is>
          <t>ライト</t>
        </is>
      </c>
      <c r="B5" s="5" t="n">
        <v>8000</v>
      </c>
      <c r="C5" s="5" t="n">
        <v>150000</v>
      </c>
      <c r="D5" s="6" t="n">
        <v>1</v>
      </c>
      <c r="E5" s="6" t="n">
        <v>5</v>
      </c>
    </row>
    <row r="6">
      <c r="A6" t="inlineStr">
        <is>
          <t>スタンダード</t>
        </is>
      </c>
      <c r="B6" s="5" t="n">
        <v>15000</v>
      </c>
      <c r="C6" s="5" t="n">
        <v>300000</v>
      </c>
      <c r="D6" s="6" t="n">
        <v>2</v>
      </c>
      <c r="E6" s="6" t="n">
        <v>10</v>
      </c>
    </row>
    <row r="7">
      <c r="A7" t="inlineStr">
        <is>
          <t>プレミアム(3院)</t>
        </is>
      </c>
      <c r="B7" s="5" t="n">
        <v>30000</v>
      </c>
      <c r="C7" s="5" t="n">
        <v>500000</v>
      </c>
      <c r="D7" s="6" t="n">
        <v>3</v>
      </c>
      <c r="E7" s="6" t="n">
        <v>20</v>
      </c>
    </row>
    <row r="9">
      <c r="A9" s="2" t="inlineStr">
        <is>
          <t>【原価前提】</t>
        </is>
      </c>
      <c r="B9" s="3" t="n"/>
      <c r="C9" s="3" t="n"/>
      <c r="D9" s="3" t="n"/>
      <c r="E9" s="3" t="n"/>
    </row>
    <row r="10">
      <c r="A10" t="inlineStr">
        <is>
          <t>エンジニア/CS 時給</t>
        </is>
      </c>
      <c r="B10" s="5" t="n">
        <v>1200</v>
      </c>
      <c r="E10" t="inlineStr">
        <is>
          <t>メンテ・構築工数の単価</t>
        </is>
      </c>
    </row>
    <row r="11">
      <c r="A11" t="inlineStr">
        <is>
          <t>LLM API 原価/社/月</t>
        </is>
      </c>
      <c r="B11" s="5" t="n">
        <v>12</v>
      </c>
    </row>
    <row r="12">
      <c r="A12" t="inlineStr">
        <is>
          <t>チャーン率（月次）</t>
        </is>
      </c>
      <c r="B12" s="7" t="n">
        <v>0.02</v>
      </c>
    </row>
    <row r="13">
      <c r="A13" t="inlineStr">
        <is>
          <t>平均寿命（月）</t>
        </is>
      </c>
      <c r="B13" s="8" t="n">
        <v>50</v>
      </c>
      <c r="E13">
        <f> 1 / チャーン率</f>
        <v/>
      </c>
    </row>
    <row r="14">
      <c r="A14" t="inlineStr">
        <is>
          <t>契約期間（月）</t>
        </is>
      </c>
      <c r="B14" s="8" t="n">
        <v>12</v>
      </c>
      <c r="E14" t="inlineStr">
        <is>
          <t>最低保証ライン</t>
        </is>
      </c>
    </row>
    <row r="16">
      <c r="A16" s="9" t="inlineStr">
        <is>
          <t>【★交渉レバー★ （ここを変えると全シート連動）】</t>
        </is>
      </c>
      <c r="B16" s="10" t="n"/>
      <c r="C16" s="10" t="n"/>
      <c r="D16" s="10" t="n"/>
      <c r="E16" s="10" t="n"/>
    </row>
    <row r="17">
      <c r="A17" t="inlineStr">
        <is>
          <t>月額シェア率（ギミック受取%）</t>
        </is>
      </c>
      <c r="B17" s="11" t="n">
        <v>0.5</v>
      </c>
      <c r="E17" t="inlineStr">
        <is>
          <t>★レバー: 例 50% = 月額の半分がギミック</t>
        </is>
      </c>
    </row>
    <row r="18">
      <c r="A18" t="inlineStr">
        <is>
          <t>初期費用シェア率（ギミック受取%）</t>
        </is>
      </c>
      <c r="B18" s="11" t="n">
        <v>0</v>
      </c>
      <c r="E18" t="inlineStr">
        <is>
          <t>★レバー: 0% = 弊社100%、50% = 折半、100% = ギミック全額</t>
        </is>
      </c>
    </row>
    <row r="19">
      <c r="A19" t="inlineStr">
        <is>
          <t>初期費用クリニック割引率</t>
        </is>
      </c>
      <c r="B19" s="11" t="n">
        <v>0</v>
      </c>
      <c r="E19" t="inlineStr">
        <is>
          <t>★レバー: 20% = 20%OFFキャンペーン</t>
        </is>
      </c>
    </row>
    <row r="21">
      <c r="A21" s="2" t="inlineStr">
        <is>
          <t>【ギミック側 営業コスト想定】</t>
        </is>
      </c>
      <c r="B21" s="3" t="n"/>
      <c r="C21" s="3" t="n"/>
      <c r="D21" s="3" t="n"/>
      <c r="E21" s="3" t="n"/>
    </row>
    <row r="22">
      <c r="A22" t="inlineStr">
        <is>
          <t>1案件あたり営業工数（時間）</t>
        </is>
      </c>
      <c r="B22" s="12" t="n">
        <v>3</v>
      </c>
      <c r="E22" t="inlineStr">
        <is>
          <t>商談・同行・クロージング</t>
        </is>
      </c>
    </row>
    <row r="23">
      <c r="A23" t="inlineStr">
        <is>
          <t>営業担当の時間単価（円）</t>
        </is>
      </c>
      <c r="B23" s="13" t="n">
        <v>5000</v>
      </c>
      <c r="E23" t="inlineStr">
        <is>
          <t>給与+機会費用</t>
        </is>
      </c>
    </row>
    <row r="24">
      <c r="A24" t="inlineStr">
        <is>
          <t>1案件あたり営業コスト</t>
        </is>
      </c>
      <c r="B24" s="14">
        <f>B22*B23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プラン別シミュレーション（現在のレバー値で自動計算）</t>
        </is>
      </c>
    </row>
    <row r="3">
      <c r="A3" s="15" t="inlineStr">
        <is>
          <t>項目</t>
        </is>
      </c>
      <c r="B3" s="15" t="inlineStr">
        <is>
          <t>ライト</t>
        </is>
      </c>
      <c r="C3" s="15" t="inlineStr">
        <is>
          <t>スタンダード</t>
        </is>
      </c>
      <c r="D3" s="15" t="inlineStr">
        <is>
          <t>プレミアム</t>
        </is>
      </c>
    </row>
    <row r="5">
      <c r="A5" s="2" t="inlineStr">
        <is>
          <t>【価格情報】</t>
        </is>
      </c>
      <c r="B5" s="3" t="n"/>
      <c r="C5" s="3" t="n"/>
      <c r="D5" s="3" t="n"/>
    </row>
    <row r="6">
      <c r="A6" t="inlineStr">
        <is>
          <t>月額定価（クリニック支払）</t>
        </is>
      </c>
      <c r="B6" s="5">
        <f>'前提'!B5</f>
        <v/>
      </c>
      <c r="C6" s="5">
        <f>'前提'!B6</f>
        <v/>
      </c>
      <c r="D6" s="5">
        <f>'前提'!B7</f>
        <v/>
      </c>
    </row>
    <row r="7">
      <c r="A7" t="inlineStr">
        <is>
          <t>初期費用定価</t>
        </is>
      </c>
      <c r="B7" s="5">
        <f>'前提'!C5</f>
        <v/>
      </c>
      <c r="C7" s="5">
        <f>'前提'!C6</f>
        <v/>
      </c>
      <c r="D7" s="5">
        <f>'前提'!C7</f>
        <v/>
      </c>
    </row>
    <row r="8">
      <c r="A8" t="inlineStr">
        <is>
          <t>初期費用 割引後（クリニック実払）</t>
        </is>
      </c>
      <c r="B8" s="5">
        <f>'前提'!C5*(1-'前提'!$B$19)</f>
        <v/>
      </c>
      <c r="C8" s="5">
        <f>'前提'!C6*(1-'前提'!$B$19)</f>
        <v/>
      </c>
      <c r="D8" s="5">
        <f>'前提'!C7*(1-'前提'!$B$19)</f>
        <v/>
      </c>
    </row>
    <row r="10">
      <c r="A10" s="2" t="inlineStr">
        <is>
          <t>【exmore受取】</t>
        </is>
      </c>
      <c r="B10" s="3" t="n"/>
      <c r="C10" s="3" t="n"/>
      <c r="D10" s="3" t="n"/>
    </row>
    <row r="11">
      <c r="A11" t="inlineStr">
        <is>
          <t>初期費用 受取額</t>
        </is>
      </c>
      <c r="B11" s="5">
        <f>B8*(1-'前提'!$B$18)</f>
        <v/>
      </c>
      <c r="C11" s="5">
        <f>C8*(1-'前提'!$B$18)</f>
        <v/>
      </c>
      <c r="D11" s="5">
        <f>D8*(1-'前提'!$B$18)</f>
        <v/>
      </c>
    </row>
    <row r="12">
      <c r="A12" t="inlineStr">
        <is>
          <t>月額 受取額（シェア後）</t>
        </is>
      </c>
      <c r="B12" s="5">
        <f>B6*(1-'前提'!$B$17)</f>
        <v/>
      </c>
      <c r="C12" s="5">
        <f>C6*(1-'前提'!$B$17)</f>
        <v/>
      </c>
      <c r="D12" s="5">
        <f>D6*(1-'前提'!$B$17)</f>
        <v/>
      </c>
    </row>
    <row r="14">
      <c r="A14" s="2" t="inlineStr">
        <is>
          <t>【原価（exmore側）】</t>
        </is>
      </c>
      <c r="B14" s="3" t="n"/>
      <c r="C14" s="3" t="n"/>
      <c r="D14" s="3" t="n"/>
    </row>
    <row r="15">
      <c r="A15" t="inlineStr">
        <is>
          <t>構築原価（ワンタイム）</t>
        </is>
      </c>
      <c r="B15" s="5">
        <f>'前提'!E5*'前提'!$B$10</f>
        <v/>
      </c>
      <c r="C15" s="5">
        <f>'前提'!E6*'前提'!$B$10</f>
        <v/>
      </c>
      <c r="D15" s="5">
        <f>'前提'!E7*'前提'!$B$10</f>
        <v/>
      </c>
    </row>
    <row r="16">
      <c r="A16" t="inlineStr">
        <is>
          <t>月次メンテ原価</t>
        </is>
      </c>
      <c r="B16" s="5">
        <f>'前提'!D5*'前提'!$B$10</f>
        <v/>
      </c>
      <c r="C16" s="5">
        <f>'前提'!D6*'前提'!$B$10</f>
        <v/>
      </c>
      <c r="D16" s="5">
        <f>'前提'!D7*'前提'!$B$10</f>
        <v/>
      </c>
    </row>
    <row r="17">
      <c r="A17" t="inlineStr">
        <is>
          <t>LLM API 月次原価</t>
        </is>
      </c>
      <c r="B17" s="5">
        <f>'前提'!$B$11</f>
        <v/>
      </c>
      <c r="C17" s="5">
        <f>'前提'!$B$11</f>
        <v/>
      </c>
      <c r="D17" s="5">
        <f>'前提'!$B$11</f>
        <v/>
      </c>
    </row>
    <row r="18">
      <c r="A18" t="inlineStr">
        <is>
          <t>合計月次原価</t>
        </is>
      </c>
      <c r="B18" s="5">
        <f>B16+B17</f>
        <v/>
      </c>
      <c r="C18" s="5">
        <f>C16+C17</f>
        <v/>
      </c>
      <c r="D18" s="5">
        <f>D16+D17</f>
        <v/>
      </c>
    </row>
    <row r="20">
      <c r="A20" s="2" t="inlineStr">
        <is>
          <t>【exmore側 損益】</t>
        </is>
      </c>
      <c r="B20" s="3" t="n"/>
      <c r="C20" s="3" t="n"/>
      <c r="D20" s="3" t="n"/>
    </row>
    <row r="21">
      <c r="A21" t="inlineStr">
        <is>
          <t>月次限界利益</t>
        </is>
      </c>
      <c r="B21" s="14">
        <f>B12-B18</f>
        <v/>
      </c>
      <c r="C21" s="14">
        <f>C12-C18</f>
        <v/>
      </c>
      <c r="D21" s="14">
        <f>D12-D18</f>
        <v/>
      </c>
    </row>
    <row r="22">
      <c r="A22" t="inlineStr">
        <is>
          <t>12ヶ月粗利（契約期間）</t>
        </is>
      </c>
      <c r="B22" s="14">
        <f>B11+B21*'前提'!$B$14-B15</f>
        <v/>
      </c>
      <c r="C22" s="14">
        <f>C11+C21*'前提'!$B$14-C15</f>
        <v/>
      </c>
      <c r="D22" s="14">
        <f>D11+D21*'前提'!$B$14-D15</f>
        <v/>
      </c>
    </row>
    <row r="23">
      <c r="A23" t="inlineStr">
        <is>
          <t>24ヶ月粗利</t>
        </is>
      </c>
      <c r="B23" s="16">
        <f>B11+B21*24-B15</f>
        <v/>
      </c>
      <c r="C23" s="16">
        <f>C11+C21*24-C15</f>
        <v/>
      </c>
      <c r="D23" s="16">
        <f>D11+D21*24-D15</f>
        <v/>
      </c>
    </row>
    <row r="24">
      <c r="A24" t="inlineStr">
        <is>
          <t>50ヶ月粗利（理論LTV）</t>
        </is>
      </c>
      <c r="B24" s="16">
        <f>B11+B21*'前提'!$B$13-B15</f>
        <v/>
      </c>
      <c r="C24" s="16">
        <f>C11+C21*'前提'!$B$13-C15</f>
        <v/>
      </c>
      <c r="D24" s="16">
        <f>D11+D21*'前提'!$B$13-D15</f>
        <v/>
      </c>
    </row>
    <row r="25">
      <c r="A25" t="inlineStr">
        <is>
          <t>12ヶ月粗利率</t>
        </is>
      </c>
      <c r="B25" s="7">
        <f>IF(B11+B12*'前提'!$B$14=0,0,B22/(B11+B12*'前提'!$B$14))</f>
        <v/>
      </c>
      <c r="C25" s="7">
        <f>IF(C11+C12*'前提'!$B$14=0,0,C22/(C11+C12*'前提'!$B$14))</f>
        <v/>
      </c>
      <c r="D25" s="7">
        <f>IF(D11+D12*'前提'!$B$14=0,0,D22/(D11+D12*'前提'!$B$14))</f>
        <v/>
      </c>
    </row>
    <row r="26">
      <c r="A26" t="inlineStr">
        <is>
          <t>初月キャッシュフロー</t>
        </is>
      </c>
      <c r="B26" s="5">
        <f>B11-B15+B21</f>
        <v/>
      </c>
      <c r="C26" s="5">
        <f>C11-C15+C21</f>
        <v/>
      </c>
      <c r="D26" s="5">
        <f>D11-D15+D21</f>
        <v/>
      </c>
    </row>
    <row r="27">
      <c r="A27" t="inlineStr">
        <is>
          <t>ペイバック月数</t>
        </is>
      </c>
      <c r="B27" s="6">
        <f>IF(B21&lt;=0,999,IF(B11&gt;=B15,1,(B15-B11)/B21+1))</f>
        <v/>
      </c>
      <c r="C27" s="6">
        <f>IF(C21&lt;=0,999,IF(C11&gt;=C15,1,(C15-C11)/C21+1))</f>
        <v/>
      </c>
      <c r="D27" s="6">
        <f>IF(D21&lt;=0,999,IF(D11&gt;=D15,1,(D15-D11)/D21+1))</f>
        <v/>
      </c>
    </row>
    <row r="29">
      <c r="A29" s="17" t="inlineStr">
        <is>
          <t>【ギミック側 受取】</t>
        </is>
      </c>
      <c r="B29" s="18" t="n"/>
      <c r="C29" s="18" t="n"/>
      <c r="D29" s="18" t="n"/>
    </row>
    <row r="30">
      <c r="A30" t="inlineStr">
        <is>
          <t>初期費用 受取額</t>
        </is>
      </c>
      <c r="B30" s="5">
        <f>B8*'前提'!$B$18</f>
        <v/>
      </c>
      <c r="C30" s="5">
        <f>C8*'前提'!$B$18</f>
        <v/>
      </c>
      <c r="D30" s="5">
        <f>D8*'前提'!$B$18</f>
        <v/>
      </c>
    </row>
    <row r="31">
      <c r="A31" t="inlineStr">
        <is>
          <t>月額 受取額</t>
        </is>
      </c>
      <c r="B31" s="19">
        <f>B6*'前提'!$B$17</f>
        <v/>
      </c>
      <c r="C31" s="19">
        <f>C6*'前提'!$B$17</f>
        <v/>
      </c>
      <c r="D31" s="19">
        <f>D6*'前提'!$B$17</f>
        <v/>
      </c>
    </row>
    <row r="32">
      <c r="A32" t="inlineStr">
        <is>
          <t>12ヶ月受取（契約期間内）</t>
        </is>
      </c>
      <c r="B32" s="19">
        <f>B30+B31*'前提'!$B$14</f>
        <v/>
      </c>
      <c r="C32" s="19">
        <f>C30+C31*'前提'!$B$14</f>
        <v/>
      </c>
      <c r="D32" s="19">
        <f>D30+D31*'前提'!$B$14</f>
        <v/>
      </c>
    </row>
    <row r="33">
      <c r="A33" t="inlineStr">
        <is>
          <t>24ヶ月受取</t>
        </is>
      </c>
      <c r="B33" s="5">
        <f>B30+B31*24</f>
        <v/>
      </c>
      <c r="C33" s="5">
        <f>C30+C31*24</f>
        <v/>
      </c>
      <c r="D33" s="5">
        <f>D30+D31*24</f>
        <v/>
      </c>
    </row>
    <row r="34">
      <c r="A34" t="inlineStr">
        <is>
          <t>50ヶ月受取（理論LTV）</t>
        </is>
      </c>
      <c r="B34" s="5">
        <f>B30+B31*'前提'!$B$13</f>
        <v/>
      </c>
      <c r="C34" s="5">
        <f>C30+C31*'前提'!$B$13</f>
        <v/>
      </c>
      <c r="D34" s="5">
        <f>D30+D31*'前提'!$B$13</f>
        <v/>
      </c>
    </row>
    <row r="36">
      <c r="A36" s="17" t="inlineStr">
        <is>
          <t>【ギミック側 ROI】</t>
        </is>
      </c>
      <c r="B36" s="18" t="n"/>
      <c r="C36" s="18" t="n"/>
      <c r="D36" s="18" t="n"/>
    </row>
    <row r="37">
      <c r="A37" t="inlineStr">
        <is>
          <t>営業コスト（前提シート）</t>
        </is>
      </c>
      <c r="B37" s="5">
        <f>'前提'!$B$24</f>
        <v/>
      </c>
      <c r="C37" s="5">
        <f>'前提'!$B$24</f>
        <v/>
      </c>
      <c r="D37" s="5">
        <f>'前提'!$B$24</f>
        <v/>
      </c>
    </row>
    <row r="38">
      <c r="A38" t="inlineStr">
        <is>
          <t>12ヶ月ROI倍率</t>
        </is>
      </c>
      <c r="B38" s="20">
        <f>IF(B37=0,0,B32/B37)</f>
        <v/>
      </c>
      <c r="C38" s="20">
        <f>IF(C37=0,0,C32/C37)</f>
        <v/>
      </c>
      <c r="D38" s="20">
        <f>IF(D37=0,0,D32/D37)</f>
        <v/>
      </c>
    </row>
    <row r="39">
      <c r="A39" t="inlineStr">
        <is>
          <t>24ヶ月ROI倍率</t>
        </is>
      </c>
      <c r="B39" s="20">
        <f>IF(B37=0,0,B33/B37)</f>
        <v/>
      </c>
      <c r="C39" s="20">
        <f>IF(C37=0,0,C33/C37)</f>
        <v/>
      </c>
      <c r="D39" s="20">
        <f>IF(D37=0,0,D33/D37)</f>
        <v/>
      </c>
    </row>
    <row r="40">
      <c r="A40" t="inlineStr">
        <is>
          <t>営業コスト回収月数</t>
        </is>
      </c>
      <c r="B40" s="21">
        <f>IF(B31&lt;=0,999,(B37-B30)/B31)</f>
        <v/>
      </c>
      <c r="C40" s="21">
        <f>IF(C31&lt;=0,999,(C37-C30)/C31)</f>
        <v/>
      </c>
      <c r="D40" s="21">
        <f>IF(D31&lt;=0,999,(D37-D30)/D31)</f>
        <v/>
      </c>
    </row>
    <row r="42">
      <c r="A42" s="2" t="inlineStr">
        <is>
          <t>【両社視点まとめ】</t>
        </is>
      </c>
      <c r="B42" s="3" t="n"/>
      <c r="C42" s="3" t="n"/>
      <c r="D42" s="3" t="n"/>
    </row>
    <row r="43">
      <c r="A43" t="inlineStr">
        <is>
          <t>クリニック側 12ヶ月総支払</t>
        </is>
      </c>
      <c r="B43" s="5">
        <f>B8+B6*'前提'!$B$14</f>
        <v/>
      </c>
      <c r="C43" s="5">
        <f>C8+C6*'前提'!$B$14</f>
        <v/>
      </c>
      <c r="D43" s="5">
        <f>D8+D6*'前提'!$B$14</f>
        <v/>
      </c>
    </row>
    <row r="44">
      <c r="A44" t="inlineStr">
        <is>
          <t>exmore 12ヶ月粗利</t>
        </is>
      </c>
      <c r="B44" s="22">
        <f>B22</f>
        <v/>
      </c>
      <c r="C44" s="22">
        <f>C22</f>
        <v/>
      </c>
      <c r="D44" s="22">
        <f>D22</f>
        <v/>
      </c>
    </row>
    <row r="45">
      <c r="A45" t="inlineStr">
        <is>
          <t>ギミック 12ヶ月受取</t>
        </is>
      </c>
      <c r="B45" s="22">
        <f>B32</f>
        <v/>
      </c>
      <c r="C45" s="22">
        <f>C32</f>
        <v/>
      </c>
      <c r="D45" s="22">
        <f>D32</f>
        <v/>
      </c>
    </row>
    <row r="46">
      <c r="A46" t="inlineStr">
        <is>
          <t>両社合計 12ヶ月収益（売上）</t>
        </is>
      </c>
      <c r="B46" s="5">
        <f>B44+B45+B18*'前提'!$B$14+B15</f>
        <v/>
      </c>
      <c r="C46" s="5">
        <f>C44+C45+C18*'前提'!$B$14+C15</f>
        <v/>
      </c>
      <c r="D46" s="5">
        <f>D44+D45+D18*'前提'!$B$14+D15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感度分析マトリクス ライトプラン（月シェア × 初期費用シェア）</t>
        </is>
      </c>
    </row>
    <row r="3">
      <c r="A3" s="2" t="inlineStr">
        <is>
          <t>① exmore 12ヶ月粗利 (ライト)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初期ギミック%↓ / 月シェア%→</t>
        </is>
      </c>
      <c r="B4" s="23" t="n">
        <v>0</v>
      </c>
      <c r="C4" s="23" t="n">
        <v>0.1</v>
      </c>
      <c r="D4" s="23" t="n">
        <v>0.2</v>
      </c>
      <c r="E4" s="23" t="n">
        <v>0.3</v>
      </c>
      <c r="F4" s="23" t="n">
        <v>0.4</v>
      </c>
      <c r="G4" s="23" t="n">
        <v>0.5</v>
      </c>
      <c r="H4" s="23" t="n">
        <v>0.6</v>
      </c>
    </row>
    <row r="5">
      <c r="A5" s="23" t="n">
        <v>0</v>
      </c>
      <c r="B5" s="5">
        <f>'前提'!$C$5*(1-0.0)+'前提'!$B$5*(1-0.0)*'前提'!$B$14-'前提'!$E$5*'前提'!$B$10-('前提'!$D$5*'前提'!$B$10+'前提'!$B$11)*'前提'!$B$14</f>
        <v/>
      </c>
      <c r="C5" s="5">
        <f>'前提'!$C$5*(1-0.0)+'前提'!$B$5*(1-0.1)*'前提'!$B$14-'前提'!$E$5*'前提'!$B$10-('前提'!$D$5*'前提'!$B$10+'前提'!$B$11)*'前提'!$B$14</f>
        <v/>
      </c>
      <c r="D5" s="5">
        <f>'前提'!$C$5*(1-0.0)+'前提'!$B$5*(1-0.2)*'前提'!$B$14-'前提'!$E$5*'前提'!$B$10-('前提'!$D$5*'前提'!$B$10+'前提'!$B$11)*'前提'!$B$14</f>
        <v/>
      </c>
      <c r="E5" s="5">
        <f>'前提'!$C$5*(1-0.0)+'前提'!$B$5*(1-0.3)*'前提'!$B$14-'前提'!$E$5*'前提'!$B$10-('前提'!$D$5*'前提'!$B$10+'前提'!$B$11)*'前提'!$B$14</f>
        <v/>
      </c>
      <c r="F5" s="5">
        <f>'前提'!$C$5*(1-0.0)+'前提'!$B$5*(1-0.4)*'前提'!$B$14-'前提'!$E$5*'前提'!$B$10-('前提'!$D$5*'前提'!$B$10+'前提'!$B$11)*'前提'!$B$14</f>
        <v/>
      </c>
      <c r="G5" s="5">
        <f>'前提'!$C$5*(1-0.0)+'前提'!$B$5*(1-0.5)*'前提'!$B$14-'前提'!$E$5*'前提'!$B$10-('前提'!$D$5*'前提'!$B$10+'前提'!$B$11)*'前提'!$B$14</f>
        <v/>
      </c>
      <c r="H5" s="5">
        <f>'前提'!$C$5*(1-0.0)+'前提'!$B$5*(1-0.6)*'前提'!$B$14-'前提'!$E$5*'前提'!$B$10-('前提'!$D$5*'前提'!$B$10+'前提'!$B$11)*'前提'!$B$14</f>
        <v/>
      </c>
    </row>
    <row r="6">
      <c r="A6" s="23" t="n">
        <v>0.25</v>
      </c>
      <c r="B6" s="5">
        <f>'前提'!$C$5*(1-0.25)+'前提'!$B$5*(1-0.0)*'前提'!$B$14-'前提'!$E$5*'前提'!$B$10-('前提'!$D$5*'前提'!$B$10+'前提'!$B$11)*'前提'!$B$14</f>
        <v/>
      </c>
      <c r="C6" s="5">
        <f>'前提'!$C$5*(1-0.25)+'前提'!$B$5*(1-0.1)*'前提'!$B$14-'前提'!$E$5*'前提'!$B$10-('前提'!$D$5*'前提'!$B$10+'前提'!$B$11)*'前提'!$B$14</f>
        <v/>
      </c>
      <c r="D6" s="5">
        <f>'前提'!$C$5*(1-0.25)+'前提'!$B$5*(1-0.2)*'前提'!$B$14-'前提'!$E$5*'前提'!$B$10-('前提'!$D$5*'前提'!$B$10+'前提'!$B$11)*'前提'!$B$14</f>
        <v/>
      </c>
      <c r="E6" s="5">
        <f>'前提'!$C$5*(1-0.25)+'前提'!$B$5*(1-0.3)*'前提'!$B$14-'前提'!$E$5*'前提'!$B$10-('前提'!$D$5*'前提'!$B$10+'前提'!$B$11)*'前提'!$B$14</f>
        <v/>
      </c>
      <c r="F6" s="5">
        <f>'前提'!$C$5*(1-0.25)+'前提'!$B$5*(1-0.4)*'前提'!$B$14-'前提'!$E$5*'前提'!$B$10-('前提'!$D$5*'前提'!$B$10+'前提'!$B$11)*'前提'!$B$14</f>
        <v/>
      </c>
      <c r="G6" s="5">
        <f>'前提'!$C$5*(1-0.25)+'前提'!$B$5*(1-0.5)*'前提'!$B$14-'前提'!$E$5*'前提'!$B$10-('前提'!$D$5*'前提'!$B$10+'前提'!$B$11)*'前提'!$B$14</f>
        <v/>
      </c>
      <c r="H6" s="5">
        <f>'前提'!$C$5*(1-0.25)+'前提'!$B$5*(1-0.6)*'前提'!$B$14-'前提'!$E$5*'前提'!$B$10-('前提'!$D$5*'前提'!$B$10+'前提'!$B$11)*'前提'!$B$14</f>
        <v/>
      </c>
    </row>
    <row r="7">
      <c r="A7" s="23" t="n">
        <v>0.5</v>
      </c>
      <c r="B7" s="5">
        <f>'前提'!$C$5*(1-0.5)+'前提'!$B$5*(1-0.0)*'前提'!$B$14-'前提'!$E$5*'前提'!$B$10-('前提'!$D$5*'前提'!$B$10+'前提'!$B$11)*'前提'!$B$14</f>
        <v/>
      </c>
      <c r="C7" s="5">
        <f>'前提'!$C$5*(1-0.5)+'前提'!$B$5*(1-0.1)*'前提'!$B$14-'前提'!$E$5*'前提'!$B$10-('前提'!$D$5*'前提'!$B$10+'前提'!$B$11)*'前提'!$B$14</f>
        <v/>
      </c>
      <c r="D7" s="5">
        <f>'前提'!$C$5*(1-0.5)+'前提'!$B$5*(1-0.2)*'前提'!$B$14-'前提'!$E$5*'前提'!$B$10-('前提'!$D$5*'前提'!$B$10+'前提'!$B$11)*'前提'!$B$14</f>
        <v/>
      </c>
      <c r="E7" s="5">
        <f>'前提'!$C$5*(1-0.5)+'前提'!$B$5*(1-0.3)*'前提'!$B$14-'前提'!$E$5*'前提'!$B$10-('前提'!$D$5*'前提'!$B$10+'前提'!$B$11)*'前提'!$B$14</f>
        <v/>
      </c>
      <c r="F7" s="5">
        <f>'前提'!$C$5*(1-0.5)+'前提'!$B$5*(1-0.4)*'前提'!$B$14-'前提'!$E$5*'前提'!$B$10-('前提'!$D$5*'前提'!$B$10+'前提'!$B$11)*'前提'!$B$14</f>
        <v/>
      </c>
      <c r="G7" s="5">
        <f>'前提'!$C$5*(1-0.5)+'前提'!$B$5*(1-0.5)*'前提'!$B$14-'前提'!$E$5*'前提'!$B$10-('前提'!$D$5*'前提'!$B$10+'前提'!$B$11)*'前提'!$B$14</f>
        <v/>
      </c>
      <c r="H7" s="5">
        <f>'前提'!$C$5*(1-0.5)+'前提'!$B$5*(1-0.6)*'前提'!$B$14-'前提'!$E$5*'前提'!$B$10-('前提'!$D$5*'前提'!$B$10+'前提'!$B$11)*'前提'!$B$14</f>
        <v/>
      </c>
    </row>
    <row r="8">
      <c r="A8" s="23" t="n">
        <v>0.75</v>
      </c>
      <c r="B8" s="5">
        <f>'前提'!$C$5*(1-0.75)+'前提'!$B$5*(1-0.0)*'前提'!$B$14-'前提'!$E$5*'前提'!$B$10-('前提'!$D$5*'前提'!$B$10+'前提'!$B$11)*'前提'!$B$14</f>
        <v/>
      </c>
      <c r="C8" s="5">
        <f>'前提'!$C$5*(1-0.75)+'前提'!$B$5*(1-0.1)*'前提'!$B$14-'前提'!$E$5*'前提'!$B$10-('前提'!$D$5*'前提'!$B$10+'前提'!$B$11)*'前提'!$B$14</f>
        <v/>
      </c>
      <c r="D8" s="5">
        <f>'前提'!$C$5*(1-0.75)+'前提'!$B$5*(1-0.2)*'前提'!$B$14-'前提'!$E$5*'前提'!$B$10-('前提'!$D$5*'前提'!$B$10+'前提'!$B$11)*'前提'!$B$14</f>
        <v/>
      </c>
      <c r="E8" s="5">
        <f>'前提'!$C$5*(1-0.75)+'前提'!$B$5*(1-0.3)*'前提'!$B$14-'前提'!$E$5*'前提'!$B$10-('前提'!$D$5*'前提'!$B$10+'前提'!$B$11)*'前提'!$B$14</f>
        <v/>
      </c>
      <c r="F8" s="5">
        <f>'前提'!$C$5*(1-0.75)+'前提'!$B$5*(1-0.4)*'前提'!$B$14-'前提'!$E$5*'前提'!$B$10-('前提'!$D$5*'前提'!$B$10+'前提'!$B$11)*'前提'!$B$14</f>
        <v/>
      </c>
      <c r="G8" s="5">
        <f>'前提'!$C$5*(1-0.75)+'前提'!$B$5*(1-0.5)*'前提'!$B$14-'前提'!$E$5*'前提'!$B$10-('前提'!$D$5*'前提'!$B$10+'前提'!$B$11)*'前提'!$B$14</f>
        <v/>
      </c>
      <c r="H8" s="5">
        <f>'前提'!$C$5*(1-0.75)+'前提'!$B$5*(1-0.6)*'前提'!$B$14-'前提'!$E$5*'前提'!$B$10-('前提'!$D$5*'前提'!$B$10+'前提'!$B$11)*'前提'!$B$14</f>
        <v/>
      </c>
    </row>
    <row r="9">
      <c r="A9" s="23" t="n">
        <v>1</v>
      </c>
      <c r="B9" s="5">
        <f>'前提'!$C$5*(1-1.0)+'前提'!$B$5*(1-0.0)*'前提'!$B$14-'前提'!$E$5*'前提'!$B$10-('前提'!$D$5*'前提'!$B$10+'前提'!$B$11)*'前提'!$B$14</f>
        <v/>
      </c>
      <c r="C9" s="5">
        <f>'前提'!$C$5*(1-1.0)+'前提'!$B$5*(1-0.1)*'前提'!$B$14-'前提'!$E$5*'前提'!$B$10-('前提'!$D$5*'前提'!$B$10+'前提'!$B$11)*'前提'!$B$14</f>
        <v/>
      </c>
      <c r="D9" s="5">
        <f>'前提'!$C$5*(1-1.0)+'前提'!$B$5*(1-0.2)*'前提'!$B$14-'前提'!$E$5*'前提'!$B$10-('前提'!$D$5*'前提'!$B$10+'前提'!$B$11)*'前提'!$B$14</f>
        <v/>
      </c>
      <c r="E9" s="5">
        <f>'前提'!$C$5*(1-1.0)+'前提'!$B$5*(1-0.3)*'前提'!$B$14-'前提'!$E$5*'前提'!$B$10-('前提'!$D$5*'前提'!$B$10+'前提'!$B$11)*'前提'!$B$14</f>
        <v/>
      </c>
      <c r="F9" s="5">
        <f>'前提'!$C$5*(1-1.0)+'前提'!$B$5*(1-0.4)*'前提'!$B$14-'前提'!$E$5*'前提'!$B$10-('前提'!$D$5*'前提'!$B$10+'前提'!$B$11)*'前提'!$B$14</f>
        <v/>
      </c>
      <c r="G9" s="5">
        <f>'前提'!$C$5*(1-1.0)+'前提'!$B$5*(1-0.5)*'前提'!$B$14-'前提'!$E$5*'前提'!$B$10-('前提'!$D$5*'前提'!$B$10+'前提'!$B$11)*'前提'!$B$14</f>
        <v/>
      </c>
      <c r="H9" s="5">
        <f>'前提'!$C$5*(1-1.0)+'前提'!$B$5*(1-0.6)*'前提'!$B$14-'前提'!$E$5*'前提'!$B$10-('前提'!$D$5*'前提'!$B$10+'前提'!$B$11)*'前提'!$B$14</f>
        <v/>
      </c>
    </row>
    <row r="12">
      <c r="A12" s="17" t="inlineStr">
        <is>
          <t>② ギミック 12ヶ月受取 (ライト)</t>
        </is>
      </c>
      <c r="B12" s="18" t="n"/>
      <c r="C12" s="18" t="n"/>
      <c r="D12" s="18" t="n"/>
      <c r="E12" s="18" t="n"/>
      <c r="F12" s="18" t="n"/>
      <c r="G12" s="18" t="n"/>
      <c r="H12" s="18" t="n"/>
    </row>
    <row r="13">
      <c r="A13" s="4" t="inlineStr">
        <is>
          <t>初期ギミック%↓ / 月シェア%→</t>
        </is>
      </c>
      <c r="B13" s="23" t="n">
        <v>0</v>
      </c>
      <c r="C13" s="23" t="n">
        <v>0.1</v>
      </c>
      <c r="D13" s="23" t="n">
        <v>0.2</v>
      </c>
      <c r="E13" s="23" t="n">
        <v>0.3</v>
      </c>
      <c r="F13" s="23" t="n">
        <v>0.4</v>
      </c>
      <c r="G13" s="23" t="n">
        <v>0.5</v>
      </c>
      <c r="H13" s="23" t="n">
        <v>0.6</v>
      </c>
    </row>
    <row r="14">
      <c r="A14" s="23" t="n">
        <v>0</v>
      </c>
      <c r="B14" s="5">
        <f>'前提'!$C$5*0.0+'前提'!$B$5*0.0*'前提'!$B$14</f>
        <v/>
      </c>
      <c r="C14" s="5">
        <f>'前提'!$C$5*0.0+'前提'!$B$5*0.1*'前提'!$B$14</f>
        <v/>
      </c>
      <c r="D14" s="5">
        <f>'前提'!$C$5*0.0+'前提'!$B$5*0.2*'前提'!$B$14</f>
        <v/>
      </c>
      <c r="E14" s="5">
        <f>'前提'!$C$5*0.0+'前提'!$B$5*0.3*'前提'!$B$14</f>
        <v/>
      </c>
      <c r="F14" s="5">
        <f>'前提'!$C$5*0.0+'前提'!$B$5*0.4*'前提'!$B$14</f>
        <v/>
      </c>
      <c r="G14" s="5">
        <f>'前提'!$C$5*0.0+'前提'!$B$5*0.5*'前提'!$B$14</f>
        <v/>
      </c>
      <c r="H14" s="5">
        <f>'前提'!$C$5*0.0+'前提'!$B$5*0.6*'前提'!$B$14</f>
        <v/>
      </c>
    </row>
    <row r="15">
      <c r="A15" s="23" t="n">
        <v>0.25</v>
      </c>
      <c r="B15" s="5">
        <f>'前提'!$C$5*0.25+'前提'!$B$5*0.0*'前提'!$B$14</f>
        <v/>
      </c>
      <c r="C15" s="5">
        <f>'前提'!$C$5*0.25+'前提'!$B$5*0.1*'前提'!$B$14</f>
        <v/>
      </c>
      <c r="D15" s="5">
        <f>'前提'!$C$5*0.25+'前提'!$B$5*0.2*'前提'!$B$14</f>
        <v/>
      </c>
      <c r="E15" s="5">
        <f>'前提'!$C$5*0.25+'前提'!$B$5*0.3*'前提'!$B$14</f>
        <v/>
      </c>
      <c r="F15" s="5">
        <f>'前提'!$C$5*0.25+'前提'!$B$5*0.4*'前提'!$B$14</f>
        <v/>
      </c>
      <c r="G15" s="5">
        <f>'前提'!$C$5*0.25+'前提'!$B$5*0.5*'前提'!$B$14</f>
        <v/>
      </c>
      <c r="H15" s="5">
        <f>'前提'!$C$5*0.25+'前提'!$B$5*0.6*'前提'!$B$14</f>
        <v/>
      </c>
    </row>
    <row r="16">
      <c r="A16" s="23" t="n">
        <v>0.5</v>
      </c>
      <c r="B16" s="5">
        <f>'前提'!$C$5*0.5+'前提'!$B$5*0.0*'前提'!$B$14</f>
        <v/>
      </c>
      <c r="C16" s="5">
        <f>'前提'!$C$5*0.5+'前提'!$B$5*0.1*'前提'!$B$14</f>
        <v/>
      </c>
      <c r="D16" s="5">
        <f>'前提'!$C$5*0.5+'前提'!$B$5*0.2*'前提'!$B$14</f>
        <v/>
      </c>
      <c r="E16" s="5">
        <f>'前提'!$C$5*0.5+'前提'!$B$5*0.3*'前提'!$B$14</f>
        <v/>
      </c>
      <c r="F16" s="5">
        <f>'前提'!$C$5*0.5+'前提'!$B$5*0.4*'前提'!$B$14</f>
        <v/>
      </c>
      <c r="G16" s="5">
        <f>'前提'!$C$5*0.5+'前提'!$B$5*0.5*'前提'!$B$14</f>
        <v/>
      </c>
      <c r="H16" s="5">
        <f>'前提'!$C$5*0.5+'前提'!$B$5*0.6*'前提'!$B$14</f>
        <v/>
      </c>
    </row>
    <row r="17">
      <c r="A17" s="23" t="n">
        <v>0.75</v>
      </c>
      <c r="B17" s="5">
        <f>'前提'!$C$5*0.75+'前提'!$B$5*0.0*'前提'!$B$14</f>
        <v/>
      </c>
      <c r="C17" s="5">
        <f>'前提'!$C$5*0.75+'前提'!$B$5*0.1*'前提'!$B$14</f>
        <v/>
      </c>
      <c r="D17" s="5">
        <f>'前提'!$C$5*0.75+'前提'!$B$5*0.2*'前提'!$B$14</f>
        <v/>
      </c>
      <c r="E17" s="5">
        <f>'前提'!$C$5*0.75+'前提'!$B$5*0.3*'前提'!$B$14</f>
        <v/>
      </c>
      <c r="F17" s="5">
        <f>'前提'!$C$5*0.75+'前提'!$B$5*0.4*'前提'!$B$14</f>
        <v/>
      </c>
      <c r="G17" s="5">
        <f>'前提'!$C$5*0.75+'前提'!$B$5*0.5*'前提'!$B$14</f>
        <v/>
      </c>
      <c r="H17" s="5">
        <f>'前提'!$C$5*0.75+'前提'!$B$5*0.6*'前提'!$B$14</f>
        <v/>
      </c>
    </row>
    <row r="18">
      <c r="A18" s="23" t="n">
        <v>1</v>
      </c>
      <c r="B18" s="5">
        <f>'前提'!$C$5*1.0+'前提'!$B$5*0.0*'前提'!$B$14</f>
        <v/>
      </c>
      <c r="C18" s="5">
        <f>'前提'!$C$5*1.0+'前提'!$B$5*0.1*'前提'!$B$14</f>
        <v/>
      </c>
      <c r="D18" s="5">
        <f>'前提'!$C$5*1.0+'前提'!$B$5*0.2*'前提'!$B$14</f>
        <v/>
      </c>
      <c r="E18" s="5">
        <f>'前提'!$C$5*1.0+'前提'!$B$5*0.3*'前提'!$B$14</f>
        <v/>
      </c>
      <c r="F18" s="5">
        <f>'前提'!$C$5*1.0+'前提'!$B$5*0.4*'前提'!$B$14</f>
        <v/>
      </c>
      <c r="G18" s="5">
        <f>'前提'!$C$5*1.0+'前提'!$B$5*0.5*'前提'!$B$14</f>
        <v/>
      </c>
      <c r="H18" s="5">
        <f>'前提'!$C$5*1.0+'前提'!$B$5*0.6*'前提'!$B$14</f>
        <v/>
      </c>
    </row>
    <row r="21">
      <c r="A21" s="17" t="inlineStr">
        <is>
          <t>③ ギミック 24ヶ月受取 (ライト)</t>
        </is>
      </c>
      <c r="B21" s="18" t="n"/>
      <c r="C21" s="18" t="n"/>
      <c r="D21" s="18" t="n"/>
      <c r="E21" s="18" t="n"/>
      <c r="F21" s="18" t="n"/>
      <c r="G21" s="18" t="n"/>
      <c r="H21" s="18" t="n"/>
    </row>
    <row r="22">
      <c r="A22" s="4" t="inlineStr">
        <is>
          <t>初期ギミック%↓ / 月シェア%→</t>
        </is>
      </c>
      <c r="B22" s="23" t="n">
        <v>0</v>
      </c>
      <c r="C22" s="23" t="n">
        <v>0.1</v>
      </c>
      <c r="D22" s="23" t="n">
        <v>0.2</v>
      </c>
      <c r="E22" s="23" t="n">
        <v>0.3</v>
      </c>
      <c r="F22" s="23" t="n">
        <v>0.4</v>
      </c>
      <c r="G22" s="23" t="n">
        <v>0.5</v>
      </c>
      <c r="H22" s="23" t="n">
        <v>0.6</v>
      </c>
    </row>
    <row r="23">
      <c r="A23" s="23" t="n">
        <v>0</v>
      </c>
      <c r="B23" s="5">
        <f>'前提'!$C$5*0.0+'前提'!$B$5*0.0*24</f>
        <v/>
      </c>
      <c r="C23" s="5">
        <f>'前提'!$C$5*0.0+'前提'!$B$5*0.1*24</f>
        <v/>
      </c>
      <c r="D23" s="5">
        <f>'前提'!$C$5*0.0+'前提'!$B$5*0.2*24</f>
        <v/>
      </c>
      <c r="E23" s="5">
        <f>'前提'!$C$5*0.0+'前提'!$B$5*0.3*24</f>
        <v/>
      </c>
      <c r="F23" s="5">
        <f>'前提'!$C$5*0.0+'前提'!$B$5*0.4*24</f>
        <v/>
      </c>
      <c r="G23" s="5">
        <f>'前提'!$C$5*0.0+'前提'!$B$5*0.5*24</f>
        <v/>
      </c>
      <c r="H23" s="5">
        <f>'前提'!$C$5*0.0+'前提'!$B$5*0.6*24</f>
        <v/>
      </c>
    </row>
    <row r="24">
      <c r="A24" s="23" t="n">
        <v>0.25</v>
      </c>
      <c r="B24" s="5">
        <f>'前提'!$C$5*0.25+'前提'!$B$5*0.0*24</f>
        <v/>
      </c>
      <c r="C24" s="5">
        <f>'前提'!$C$5*0.25+'前提'!$B$5*0.1*24</f>
        <v/>
      </c>
      <c r="D24" s="5">
        <f>'前提'!$C$5*0.25+'前提'!$B$5*0.2*24</f>
        <v/>
      </c>
      <c r="E24" s="5">
        <f>'前提'!$C$5*0.25+'前提'!$B$5*0.3*24</f>
        <v/>
      </c>
      <c r="F24" s="5">
        <f>'前提'!$C$5*0.25+'前提'!$B$5*0.4*24</f>
        <v/>
      </c>
      <c r="G24" s="5">
        <f>'前提'!$C$5*0.25+'前提'!$B$5*0.5*24</f>
        <v/>
      </c>
      <c r="H24" s="5">
        <f>'前提'!$C$5*0.25+'前提'!$B$5*0.6*24</f>
        <v/>
      </c>
    </row>
    <row r="25">
      <c r="A25" s="23" t="n">
        <v>0.5</v>
      </c>
      <c r="B25" s="5">
        <f>'前提'!$C$5*0.5+'前提'!$B$5*0.0*24</f>
        <v/>
      </c>
      <c r="C25" s="5">
        <f>'前提'!$C$5*0.5+'前提'!$B$5*0.1*24</f>
        <v/>
      </c>
      <c r="D25" s="5">
        <f>'前提'!$C$5*0.5+'前提'!$B$5*0.2*24</f>
        <v/>
      </c>
      <c r="E25" s="5">
        <f>'前提'!$C$5*0.5+'前提'!$B$5*0.3*24</f>
        <v/>
      </c>
      <c r="F25" s="5">
        <f>'前提'!$C$5*0.5+'前提'!$B$5*0.4*24</f>
        <v/>
      </c>
      <c r="G25" s="5">
        <f>'前提'!$C$5*0.5+'前提'!$B$5*0.5*24</f>
        <v/>
      </c>
      <c r="H25" s="5">
        <f>'前提'!$C$5*0.5+'前提'!$B$5*0.6*24</f>
        <v/>
      </c>
    </row>
    <row r="26">
      <c r="A26" s="23" t="n">
        <v>0.75</v>
      </c>
      <c r="B26" s="5">
        <f>'前提'!$C$5*0.75+'前提'!$B$5*0.0*24</f>
        <v/>
      </c>
      <c r="C26" s="5">
        <f>'前提'!$C$5*0.75+'前提'!$B$5*0.1*24</f>
        <v/>
      </c>
      <c r="D26" s="5">
        <f>'前提'!$C$5*0.75+'前提'!$B$5*0.2*24</f>
        <v/>
      </c>
      <c r="E26" s="5">
        <f>'前提'!$C$5*0.75+'前提'!$B$5*0.3*24</f>
        <v/>
      </c>
      <c r="F26" s="5">
        <f>'前提'!$C$5*0.75+'前提'!$B$5*0.4*24</f>
        <v/>
      </c>
      <c r="G26" s="5">
        <f>'前提'!$C$5*0.75+'前提'!$B$5*0.5*24</f>
        <v/>
      </c>
      <c r="H26" s="5">
        <f>'前提'!$C$5*0.75+'前提'!$B$5*0.6*24</f>
        <v/>
      </c>
    </row>
    <row r="27">
      <c r="A27" s="23" t="n">
        <v>1</v>
      </c>
      <c r="B27" s="5">
        <f>'前提'!$C$5*1.0+'前提'!$B$5*0.0*24</f>
        <v/>
      </c>
      <c r="C27" s="5">
        <f>'前提'!$C$5*1.0+'前提'!$B$5*0.1*24</f>
        <v/>
      </c>
      <c r="D27" s="5">
        <f>'前提'!$C$5*1.0+'前提'!$B$5*0.2*24</f>
        <v/>
      </c>
      <c r="E27" s="5">
        <f>'前提'!$C$5*1.0+'前提'!$B$5*0.3*24</f>
        <v/>
      </c>
      <c r="F27" s="5">
        <f>'前提'!$C$5*1.0+'前提'!$B$5*0.4*24</f>
        <v/>
      </c>
      <c r="G27" s="5">
        <f>'前提'!$C$5*1.0+'前提'!$B$5*0.5*24</f>
        <v/>
      </c>
      <c r="H27" s="5">
        <f>'前提'!$C$5*1.0+'前提'!$B$5*0.6*24</f>
        <v/>
      </c>
    </row>
    <row r="30">
      <c r="A30" s="17" t="inlineStr">
        <is>
          <t>④ ギミックROI倍率 (12ヶ月受取 / 営業コスト)</t>
        </is>
      </c>
      <c r="B30" s="18" t="n"/>
      <c r="C30" s="18" t="n"/>
      <c r="D30" s="18" t="n"/>
      <c r="E30" s="18" t="n"/>
      <c r="F30" s="18" t="n"/>
      <c r="G30" s="18" t="n"/>
      <c r="H30" s="18" t="n"/>
    </row>
    <row r="31">
      <c r="A31" s="4" t="inlineStr">
        <is>
          <t>初期ギミック%↓ / 月シェア%→</t>
        </is>
      </c>
      <c r="B31" s="23" t="n">
        <v>0</v>
      </c>
      <c r="C31" s="23" t="n">
        <v>0.1</v>
      </c>
      <c r="D31" s="23" t="n">
        <v>0.2</v>
      </c>
      <c r="E31" s="23" t="n">
        <v>0.3</v>
      </c>
      <c r="F31" s="23" t="n">
        <v>0.4</v>
      </c>
      <c r="G31" s="23" t="n">
        <v>0.5</v>
      </c>
      <c r="H31" s="23" t="n">
        <v>0.6</v>
      </c>
    </row>
    <row r="32">
      <c r="A32" s="23" t="n">
        <v>0</v>
      </c>
      <c r="B32" s="20">
        <f>IF('前提'!$B$24=0,0,('前提'!$C$5*0.0+'前提'!$B$5*0.0*'前提'!$B$14)/'前提'!$B$24)</f>
        <v/>
      </c>
      <c r="C32" s="20">
        <f>IF('前提'!$B$24=0,0,('前提'!$C$5*0.0+'前提'!$B$5*0.1*'前提'!$B$14)/'前提'!$B$24)</f>
        <v/>
      </c>
      <c r="D32" s="20">
        <f>IF('前提'!$B$24=0,0,('前提'!$C$5*0.0+'前提'!$B$5*0.2*'前提'!$B$14)/'前提'!$B$24)</f>
        <v/>
      </c>
      <c r="E32" s="20">
        <f>IF('前提'!$B$24=0,0,('前提'!$C$5*0.0+'前提'!$B$5*0.3*'前提'!$B$14)/'前提'!$B$24)</f>
        <v/>
      </c>
      <c r="F32" s="20">
        <f>IF('前提'!$B$24=0,0,('前提'!$C$5*0.0+'前提'!$B$5*0.4*'前提'!$B$14)/'前提'!$B$24)</f>
        <v/>
      </c>
      <c r="G32" s="20">
        <f>IF('前提'!$B$24=0,0,('前提'!$C$5*0.0+'前提'!$B$5*0.5*'前提'!$B$14)/'前提'!$B$24)</f>
        <v/>
      </c>
      <c r="H32" s="20">
        <f>IF('前提'!$B$24=0,0,('前提'!$C$5*0.0+'前提'!$B$5*0.6*'前提'!$B$14)/'前提'!$B$24)</f>
        <v/>
      </c>
    </row>
    <row r="33">
      <c r="A33" s="23" t="n">
        <v>0.25</v>
      </c>
      <c r="B33" s="20">
        <f>IF('前提'!$B$24=0,0,('前提'!$C$5*0.25+'前提'!$B$5*0.0*'前提'!$B$14)/'前提'!$B$24)</f>
        <v/>
      </c>
      <c r="C33" s="20">
        <f>IF('前提'!$B$24=0,0,('前提'!$C$5*0.25+'前提'!$B$5*0.1*'前提'!$B$14)/'前提'!$B$24)</f>
        <v/>
      </c>
      <c r="D33" s="20">
        <f>IF('前提'!$B$24=0,0,('前提'!$C$5*0.25+'前提'!$B$5*0.2*'前提'!$B$14)/'前提'!$B$24)</f>
        <v/>
      </c>
      <c r="E33" s="20">
        <f>IF('前提'!$B$24=0,0,('前提'!$C$5*0.25+'前提'!$B$5*0.3*'前提'!$B$14)/'前提'!$B$24)</f>
        <v/>
      </c>
      <c r="F33" s="20">
        <f>IF('前提'!$B$24=0,0,('前提'!$C$5*0.25+'前提'!$B$5*0.4*'前提'!$B$14)/'前提'!$B$24)</f>
        <v/>
      </c>
      <c r="G33" s="20">
        <f>IF('前提'!$B$24=0,0,('前提'!$C$5*0.25+'前提'!$B$5*0.5*'前提'!$B$14)/'前提'!$B$24)</f>
        <v/>
      </c>
      <c r="H33" s="20">
        <f>IF('前提'!$B$24=0,0,('前提'!$C$5*0.25+'前提'!$B$5*0.6*'前提'!$B$14)/'前提'!$B$24)</f>
        <v/>
      </c>
    </row>
    <row r="34">
      <c r="A34" s="23" t="n">
        <v>0.5</v>
      </c>
      <c r="B34" s="20">
        <f>IF('前提'!$B$24=0,0,('前提'!$C$5*0.5+'前提'!$B$5*0.0*'前提'!$B$14)/'前提'!$B$24)</f>
        <v/>
      </c>
      <c r="C34" s="20">
        <f>IF('前提'!$B$24=0,0,('前提'!$C$5*0.5+'前提'!$B$5*0.1*'前提'!$B$14)/'前提'!$B$24)</f>
        <v/>
      </c>
      <c r="D34" s="20">
        <f>IF('前提'!$B$24=0,0,('前提'!$C$5*0.5+'前提'!$B$5*0.2*'前提'!$B$14)/'前提'!$B$24)</f>
        <v/>
      </c>
      <c r="E34" s="20">
        <f>IF('前提'!$B$24=0,0,('前提'!$C$5*0.5+'前提'!$B$5*0.3*'前提'!$B$14)/'前提'!$B$24)</f>
        <v/>
      </c>
      <c r="F34" s="20">
        <f>IF('前提'!$B$24=0,0,('前提'!$C$5*0.5+'前提'!$B$5*0.4*'前提'!$B$14)/'前提'!$B$24)</f>
        <v/>
      </c>
      <c r="G34" s="20">
        <f>IF('前提'!$B$24=0,0,('前提'!$C$5*0.5+'前提'!$B$5*0.5*'前提'!$B$14)/'前提'!$B$24)</f>
        <v/>
      </c>
      <c r="H34" s="20">
        <f>IF('前提'!$B$24=0,0,('前提'!$C$5*0.5+'前提'!$B$5*0.6*'前提'!$B$14)/'前提'!$B$24)</f>
        <v/>
      </c>
    </row>
    <row r="35">
      <c r="A35" s="23" t="n">
        <v>0.75</v>
      </c>
      <c r="B35" s="20">
        <f>IF('前提'!$B$24=0,0,('前提'!$C$5*0.75+'前提'!$B$5*0.0*'前提'!$B$14)/'前提'!$B$24)</f>
        <v/>
      </c>
      <c r="C35" s="20">
        <f>IF('前提'!$B$24=0,0,('前提'!$C$5*0.75+'前提'!$B$5*0.1*'前提'!$B$14)/'前提'!$B$24)</f>
        <v/>
      </c>
      <c r="D35" s="20">
        <f>IF('前提'!$B$24=0,0,('前提'!$C$5*0.75+'前提'!$B$5*0.2*'前提'!$B$14)/'前提'!$B$24)</f>
        <v/>
      </c>
      <c r="E35" s="20">
        <f>IF('前提'!$B$24=0,0,('前提'!$C$5*0.75+'前提'!$B$5*0.3*'前提'!$B$14)/'前提'!$B$24)</f>
        <v/>
      </c>
      <c r="F35" s="20">
        <f>IF('前提'!$B$24=0,0,('前提'!$C$5*0.75+'前提'!$B$5*0.4*'前提'!$B$14)/'前提'!$B$24)</f>
        <v/>
      </c>
      <c r="G35" s="20">
        <f>IF('前提'!$B$24=0,0,('前提'!$C$5*0.75+'前提'!$B$5*0.5*'前提'!$B$14)/'前提'!$B$24)</f>
        <v/>
      </c>
      <c r="H35" s="20">
        <f>IF('前提'!$B$24=0,0,('前提'!$C$5*0.75+'前提'!$B$5*0.6*'前提'!$B$14)/'前提'!$B$24)</f>
        <v/>
      </c>
    </row>
    <row r="36">
      <c r="A36" s="23" t="n">
        <v>1</v>
      </c>
      <c r="B36" s="20">
        <f>IF('前提'!$B$24=0,0,('前提'!$C$5*1.0+'前提'!$B$5*0.0*'前提'!$B$14)/'前提'!$B$24)</f>
        <v/>
      </c>
      <c r="C36" s="20">
        <f>IF('前提'!$B$24=0,0,('前提'!$C$5*1.0+'前提'!$B$5*0.1*'前提'!$B$14)/'前提'!$B$24)</f>
        <v/>
      </c>
      <c r="D36" s="20">
        <f>IF('前提'!$B$24=0,0,('前提'!$C$5*1.0+'前提'!$B$5*0.2*'前提'!$B$14)/'前提'!$B$24)</f>
        <v/>
      </c>
      <c r="E36" s="20">
        <f>IF('前提'!$B$24=0,0,('前提'!$C$5*1.0+'前提'!$B$5*0.3*'前提'!$B$14)/'前提'!$B$24)</f>
        <v/>
      </c>
      <c r="F36" s="20">
        <f>IF('前提'!$B$24=0,0,('前提'!$C$5*1.0+'前提'!$B$5*0.4*'前提'!$B$14)/'前提'!$B$24)</f>
        <v/>
      </c>
      <c r="G36" s="20">
        <f>IF('前提'!$B$24=0,0,('前提'!$C$5*1.0+'前提'!$B$5*0.5*'前提'!$B$14)/'前提'!$B$24)</f>
        <v/>
      </c>
      <c r="H36" s="20">
        <f>IF('前提'!$B$24=0,0,('前提'!$C$5*1.0+'前提'!$B$5*0.6*'前提'!$B$14)/'前提'!$B$24)</f>
        <v/>
      </c>
    </row>
  </sheetData>
  <mergeCells count="1">
    <mergeCell ref="A1:H1"/>
  </mergeCells>
  <conditionalFormatting sqref="B5:H9">
    <cfRule type="colorScale" priority="1">
      <colorScale>
        <cfvo type="num" val="0"/>
        <cfvo type="num" val="100000"/>
        <cfvo type="num" val="200000"/>
        <color rgb="00F8CBAD"/>
        <color rgb="00FFEB9C"/>
        <color rgb="00C6EFCE"/>
      </colorScale>
    </cfRule>
  </conditionalFormatting>
  <conditionalFormatting sqref="B14:H18">
    <cfRule type="colorScale" priority="2">
      <colorScale>
        <cfvo type="num" val="0"/>
        <cfvo type="num" val="80000"/>
        <cfvo type="num" val="160000"/>
        <color rgb="00F8CBAD"/>
        <color rgb="00FFEB9C"/>
        <color rgb="00C6EF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交渉シナリオ比較（ライトプラン）</t>
        </is>
      </c>
    </row>
    <row r="3" ht="50" customHeight="1">
      <c r="A3" s="15" t="inlineStr">
        <is>
          <t>シナリオ</t>
        </is>
      </c>
      <c r="B3" s="24" t="inlineStr">
        <is>
          <t>A: 現状提案
月50%＋初期100%弊社</t>
        </is>
      </c>
      <c r="C3" s="24" t="inlineStr">
        <is>
          <t>B: 初期折半
月50%＋初期50%ギミック</t>
        </is>
      </c>
      <c r="D3" s="24" t="inlineStr">
        <is>
          <t>C: 初期全額ギミック
月50%＋初期100%ギミック</t>
        </is>
      </c>
      <c r="E3" s="24" t="inlineStr">
        <is>
          <t>D: 月40%+初期100%弊社
弊社寄り</t>
        </is>
      </c>
      <c r="F3" s="24" t="inlineStr">
        <is>
          <t>E: 月60%+初期100%弊社
先方寄り</t>
        </is>
      </c>
      <c r="G3" s="24" t="inlineStr">
        <is>
          <t>F: ローンチキャンペーン
月50%+初期100%弊社+20%OFF</t>
        </is>
      </c>
    </row>
    <row r="4">
      <c r="A4" s="4" t="inlineStr">
        <is>
          <t>月シェア率</t>
        </is>
      </c>
      <c r="B4" s="7" t="n">
        <v>0.5</v>
      </c>
      <c r="C4" s="7" t="n">
        <v>0.5</v>
      </c>
      <c r="D4" s="7" t="n">
        <v>0.5</v>
      </c>
      <c r="E4" s="7" t="n">
        <v>0.4</v>
      </c>
      <c r="F4" s="7" t="n">
        <v>0.6</v>
      </c>
      <c r="G4" s="7" t="n">
        <v>0.5</v>
      </c>
    </row>
    <row r="5">
      <c r="A5" s="4" t="inlineStr">
        <is>
          <t>初期ギミック%</t>
        </is>
      </c>
      <c r="B5" s="7" t="n">
        <v>0</v>
      </c>
      <c r="C5" s="7" t="n">
        <v>0.5</v>
      </c>
      <c r="D5" s="7" t="n">
        <v>1</v>
      </c>
      <c r="E5" s="7" t="n">
        <v>0</v>
      </c>
      <c r="F5" s="7" t="n">
        <v>0</v>
      </c>
      <c r="G5" s="7" t="n">
        <v>0</v>
      </c>
    </row>
    <row r="6">
      <c r="A6" s="4" t="inlineStr">
        <is>
          <t>初期割引%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0.2</v>
      </c>
    </row>
    <row r="8">
      <c r="A8" s="2" t="inlineStr">
        <is>
          <t>【クリニック側】</t>
        </is>
      </c>
      <c r="B8" s="3" t="n"/>
      <c r="C8" s="3" t="n"/>
      <c r="D8" s="3" t="n"/>
      <c r="E8" s="3" t="n"/>
      <c r="F8" s="3" t="n"/>
      <c r="G8" s="3" t="n"/>
    </row>
    <row r="9">
      <c r="A9" t="inlineStr">
        <is>
          <t>初期支払額</t>
        </is>
      </c>
      <c r="B9" s="5">
        <f>'前提'!$C$5*(1-0.0)</f>
        <v/>
      </c>
      <c r="C9" s="5">
        <f>'前提'!$C$5*(1-0.0)</f>
        <v/>
      </c>
      <c r="D9" s="5">
        <f>'前提'!$C$5*(1-0.0)</f>
        <v/>
      </c>
      <c r="E9" s="5">
        <f>'前提'!$C$5*(1-0.0)</f>
        <v/>
      </c>
      <c r="F9" s="5">
        <f>'前提'!$C$5*(1-0.0)</f>
        <v/>
      </c>
      <c r="G9" s="5">
        <f>'前提'!$C$5*(1-0.2)</f>
        <v/>
      </c>
    </row>
    <row r="10">
      <c r="A10" t="inlineStr">
        <is>
          <t>月額</t>
        </is>
      </c>
      <c r="B10" s="5">
        <f>'前提'!$B$5</f>
        <v/>
      </c>
      <c r="C10" s="5">
        <f>'前提'!$B$5</f>
        <v/>
      </c>
      <c r="D10" s="5">
        <f>'前提'!$B$5</f>
        <v/>
      </c>
      <c r="E10" s="5">
        <f>'前提'!$B$5</f>
        <v/>
      </c>
      <c r="F10" s="5">
        <f>'前提'!$B$5</f>
        <v/>
      </c>
      <c r="G10" s="5">
        <f>'前提'!$B$5</f>
        <v/>
      </c>
    </row>
    <row r="11">
      <c r="A11" t="inlineStr">
        <is>
          <t>12ヶ月総支払額</t>
        </is>
      </c>
      <c r="B11" s="5">
        <f>B9+B10*12</f>
        <v/>
      </c>
      <c r="C11" s="5">
        <f>C9+C10*12</f>
        <v/>
      </c>
      <c r="D11" s="5">
        <f>D9+D10*12</f>
        <v/>
      </c>
      <c r="E11" s="5">
        <f>E9+E10*12</f>
        <v/>
      </c>
      <c r="F11" s="5">
        <f>F9+F10*12</f>
        <v/>
      </c>
      <c r="G11" s="5">
        <f>G9+G10*12</f>
        <v/>
      </c>
    </row>
    <row r="13">
      <c r="A13" s="2" t="inlineStr">
        <is>
          <t>【exmore側】</t>
        </is>
      </c>
      <c r="B13" s="3" t="n"/>
      <c r="C13" s="3" t="n"/>
      <c r="D13" s="3" t="n"/>
      <c r="E13" s="3" t="n"/>
      <c r="F13" s="3" t="n"/>
      <c r="G13" s="3" t="n"/>
    </row>
    <row r="14">
      <c r="A14" t="inlineStr">
        <is>
          <t>初期受取</t>
        </is>
      </c>
      <c r="B14" s="5">
        <f>'前提'!$C$5*(1-0.0)*(1-0.0)</f>
        <v/>
      </c>
      <c r="C14" s="5">
        <f>'前提'!$C$5*(1-0.0)*(1-0.5)</f>
        <v/>
      </c>
      <c r="D14" s="5">
        <f>'前提'!$C$5*(1-0.0)*(1-1.0)</f>
        <v/>
      </c>
      <c r="E14" s="5">
        <f>'前提'!$C$5*(1-0.0)*(1-0.0)</f>
        <v/>
      </c>
      <c r="F14" s="5">
        <f>'前提'!$C$5*(1-0.0)*(1-0.0)</f>
        <v/>
      </c>
      <c r="G14" s="5">
        <f>'前提'!$C$5*(1-0.2)*(1-0.0)</f>
        <v/>
      </c>
    </row>
    <row r="15">
      <c r="A15" t="inlineStr">
        <is>
          <t>月額受取</t>
        </is>
      </c>
      <c r="B15" s="5">
        <f>'前提'!$B$5*(1-0.5)</f>
        <v/>
      </c>
      <c r="C15" s="5">
        <f>'前提'!$B$5*(1-0.5)</f>
        <v/>
      </c>
      <c r="D15" s="5">
        <f>'前提'!$B$5*(1-0.5)</f>
        <v/>
      </c>
      <c r="E15" s="5">
        <f>'前提'!$B$5*(1-0.4)</f>
        <v/>
      </c>
      <c r="F15" s="5">
        <f>'前提'!$B$5*(1-0.6)</f>
        <v/>
      </c>
      <c r="G15" s="5">
        <f>'前提'!$B$5*(1-0.5)</f>
        <v/>
      </c>
    </row>
    <row r="16">
      <c r="A16" t="inlineStr">
        <is>
          <t>月次限界利益</t>
        </is>
      </c>
      <c r="B16" s="5">
        <f>B15-'前提'!$D$5*'前提'!$B$10-'前提'!$B$11</f>
        <v/>
      </c>
      <c r="C16" s="5">
        <f>C15-'前提'!$D$5*'前提'!$B$10-'前提'!$B$11</f>
        <v/>
      </c>
      <c r="D16" s="5">
        <f>D15-'前提'!$D$5*'前提'!$B$10-'前提'!$B$11</f>
        <v/>
      </c>
      <c r="E16" s="5">
        <f>E15-'前提'!$D$5*'前提'!$B$10-'前提'!$B$11</f>
        <v/>
      </c>
      <c r="F16" s="5">
        <f>F15-'前提'!$D$5*'前提'!$B$10-'前提'!$B$11</f>
        <v/>
      </c>
      <c r="G16" s="5">
        <f>G15-'前提'!$D$5*'前提'!$B$10-'前提'!$B$11</f>
        <v/>
      </c>
    </row>
    <row r="17">
      <c r="A17" s="4" t="inlineStr">
        <is>
          <t>12ヶ月粗利</t>
        </is>
      </c>
      <c r="B17" s="14">
        <f>B14-'前提'!$E$5*'前提'!$B$10+B16*'前提'!$B$14</f>
        <v/>
      </c>
      <c r="C17" s="14">
        <f>C14-'前提'!$E$5*'前提'!$B$10+C16*'前提'!$B$14</f>
        <v/>
      </c>
      <c r="D17" s="14">
        <f>D14-'前提'!$E$5*'前提'!$B$10+D16*'前提'!$B$14</f>
        <v/>
      </c>
      <c r="E17" s="14">
        <f>E14-'前提'!$E$5*'前提'!$B$10+E16*'前提'!$B$14</f>
        <v/>
      </c>
      <c r="F17" s="14">
        <f>F14-'前提'!$E$5*'前提'!$B$10+F16*'前提'!$B$14</f>
        <v/>
      </c>
      <c r="G17" s="14">
        <f>G14-'前提'!$E$5*'前提'!$B$10+G16*'前提'!$B$14</f>
        <v/>
      </c>
    </row>
    <row r="18">
      <c r="A18" t="inlineStr">
        <is>
          <t>24ヶ月粗利</t>
        </is>
      </c>
      <c r="B18" s="16">
        <f>B14-'前提'!$E$5*'前提'!$B$10+B16*24</f>
        <v/>
      </c>
      <c r="C18" s="16">
        <f>C14-'前提'!$E$5*'前提'!$B$10+C16*24</f>
        <v/>
      </c>
      <c r="D18" s="16">
        <f>D14-'前提'!$E$5*'前提'!$B$10+D16*24</f>
        <v/>
      </c>
      <c r="E18" s="16">
        <f>E14-'前提'!$E$5*'前提'!$B$10+E16*24</f>
        <v/>
      </c>
      <c r="F18" s="16">
        <f>F14-'前提'!$E$5*'前提'!$B$10+F16*24</f>
        <v/>
      </c>
      <c r="G18" s="16">
        <f>G14-'前提'!$E$5*'前提'!$B$10+G16*24</f>
        <v/>
      </c>
    </row>
    <row r="19">
      <c r="A19" s="4" t="inlineStr">
        <is>
          <t>50ヶ月粗利（LTV）</t>
        </is>
      </c>
      <c r="B19" s="14">
        <f>B14-'前提'!$E$5*'前提'!$B$10+B16*'前提'!$B$13</f>
        <v/>
      </c>
      <c r="C19" s="14">
        <f>C14-'前提'!$E$5*'前提'!$B$10+C16*'前提'!$B$13</f>
        <v/>
      </c>
      <c r="D19" s="14">
        <f>D14-'前提'!$E$5*'前提'!$B$10+D16*'前提'!$B$13</f>
        <v/>
      </c>
      <c r="E19" s="14">
        <f>E14-'前提'!$E$5*'前提'!$B$10+E16*'前提'!$B$13</f>
        <v/>
      </c>
      <c r="F19" s="14">
        <f>F14-'前提'!$E$5*'前提'!$B$10+F16*'前提'!$B$13</f>
        <v/>
      </c>
      <c r="G19" s="14">
        <f>G14-'前提'!$E$5*'前提'!$B$10+G16*'前提'!$B$13</f>
        <v/>
      </c>
    </row>
    <row r="20">
      <c r="A20" t="inlineStr">
        <is>
          <t>12ヶ月粗利率</t>
        </is>
      </c>
      <c r="B20" s="7">
        <f>IF(B14+B15*'前提'!$B$14=0,0,B17/(B14+B15*'前提'!$B$14))</f>
        <v/>
      </c>
      <c r="C20" s="7">
        <f>IF(C14+C15*'前提'!$B$14=0,0,C17/(C14+C15*'前提'!$B$14))</f>
        <v/>
      </c>
      <c r="D20" s="7">
        <f>IF(D14+D15*'前提'!$B$14=0,0,D17/(D14+D15*'前提'!$B$14))</f>
        <v/>
      </c>
      <c r="E20" s="7">
        <f>IF(E14+E15*'前提'!$B$14=0,0,E17/(E14+E15*'前提'!$B$14))</f>
        <v/>
      </c>
      <c r="F20" s="7">
        <f>IF(F14+F15*'前提'!$B$14=0,0,F17/(F14+F15*'前提'!$B$14))</f>
        <v/>
      </c>
      <c r="G20" s="7">
        <f>IF(G14+G15*'前提'!$B$14=0,0,G17/(G14+G15*'前提'!$B$14))</f>
        <v/>
      </c>
    </row>
    <row r="22">
      <c r="A22" s="17" t="inlineStr">
        <is>
          <t>【ギミック側】</t>
        </is>
      </c>
      <c r="B22" s="18" t="n"/>
      <c r="C22" s="18" t="n"/>
      <c r="D22" s="18" t="n"/>
      <c r="E22" s="18" t="n"/>
      <c r="F22" s="18" t="n"/>
      <c r="G22" s="18" t="n"/>
    </row>
    <row r="23">
      <c r="A23" t="inlineStr">
        <is>
          <t>初期受取</t>
        </is>
      </c>
      <c r="B23" s="5">
        <f>'前提'!$C$5*(1-0.0)*0.0</f>
        <v/>
      </c>
      <c r="C23" s="5">
        <f>'前提'!$C$5*(1-0.0)*0.5</f>
        <v/>
      </c>
      <c r="D23" s="5">
        <f>'前提'!$C$5*(1-0.0)*1.0</f>
        <v/>
      </c>
      <c r="E23" s="5">
        <f>'前提'!$C$5*(1-0.0)*0.0</f>
        <v/>
      </c>
      <c r="F23" s="5">
        <f>'前提'!$C$5*(1-0.0)*0.0</f>
        <v/>
      </c>
      <c r="G23" s="5">
        <f>'前提'!$C$5*(1-0.2)*0.0</f>
        <v/>
      </c>
    </row>
    <row r="24">
      <c r="A24" t="inlineStr">
        <is>
          <t>月額受取</t>
        </is>
      </c>
      <c r="B24" s="5">
        <f>'前提'!$B$5*0.5</f>
        <v/>
      </c>
      <c r="C24" s="5">
        <f>'前提'!$B$5*0.5</f>
        <v/>
      </c>
      <c r="D24" s="5">
        <f>'前提'!$B$5*0.5</f>
        <v/>
      </c>
      <c r="E24" s="5">
        <f>'前提'!$B$5*0.4</f>
        <v/>
      </c>
      <c r="F24" s="5">
        <f>'前提'!$B$5*0.6</f>
        <v/>
      </c>
      <c r="G24" s="5">
        <f>'前提'!$B$5*0.5</f>
        <v/>
      </c>
    </row>
    <row r="25">
      <c r="A25" s="4" t="inlineStr">
        <is>
          <t>12ヶ月受取</t>
        </is>
      </c>
      <c r="B25" s="14">
        <f>B23+B24*'前提'!$B$14</f>
        <v/>
      </c>
      <c r="C25" s="14">
        <f>C23+C24*'前提'!$B$14</f>
        <v/>
      </c>
      <c r="D25" s="14">
        <f>D23+D24*'前提'!$B$14</f>
        <v/>
      </c>
      <c r="E25" s="14">
        <f>E23+E24*'前提'!$B$14</f>
        <v/>
      </c>
      <c r="F25" s="14">
        <f>F23+F24*'前提'!$B$14</f>
        <v/>
      </c>
      <c r="G25" s="14">
        <f>G23+G24*'前提'!$B$14</f>
        <v/>
      </c>
    </row>
    <row r="26">
      <c r="A26" t="inlineStr">
        <is>
          <t>24ヶ月受取</t>
        </is>
      </c>
      <c r="B26" s="16">
        <f>B23+B24*24</f>
        <v/>
      </c>
      <c r="C26" s="16">
        <f>C23+C24*24</f>
        <v/>
      </c>
      <c r="D26" s="16">
        <f>D23+D24*24</f>
        <v/>
      </c>
      <c r="E26" s="16">
        <f>E23+E24*24</f>
        <v/>
      </c>
      <c r="F26" s="16">
        <f>F23+F24*24</f>
        <v/>
      </c>
      <c r="G26" s="16">
        <f>G23+G24*24</f>
        <v/>
      </c>
    </row>
    <row r="27">
      <c r="A27" s="4" t="inlineStr">
        <is>
          <t>50ヶ月受取（LTV）</t>
        </is>
      </c>
      <c r="B27" s="14">
        <f>B23+B24*'前提'!$B$13</f>
        <v/>
      </c>
      <c r="C27" s="14">
        <f>C23+C24*'前提'!$B$13</f>
        <v/>
      </c>
      <c r="D27" s="14">
        <f>D23+D24*'前提'!$B$13</f>
        <v/>
      </c>
      <c r="E27" s="14">
        <f>E23+E24*'前提'!$B$13</f>
        <v/>
      </c>
      <c r="F27" s="14">
        <f>F23+F24*'前提'!$B$13</f>
        <v/>
      </c>
      <c r="G27" s="14">
        <f>G23+G24*'前提'!$B$13</f>
        <v/>
      </c>
    </row>
    <row r="28">
      <c r="A28" t="inlineStr">
        <is>
          <t>営業コスト</t>
        </is>
      </c>
      <c r="B28" s="5">
        <f>'前提'!$B$24</f>
        <v/>
      </c>
      <c r="C28" s="5">
        <f>'前提'!$B$24</f>
        <v/>
      </c>
      <c r="D28" s="5">
        <f>'前提'!$B$24</f>
        <v/>
      </c>
      <c r="E28" s="5">
        <f>'前提'!$B$24</f>
        <v/>
      </c>
      <c r="F28" s="5">
        <f>'前提'!$B$24</f>
        <v/>
      </c>
      <c r="G28" s="5">
        <f>'前提'!$B$24</f>
        <v/>
      </c>
    </row>
    <row r="29">
      <c r="A29" s="4" t="inlineStr">
        <is>
          <t>12ヶ月ROI倍率</t>
        </is>
      </c>
      <c r="B29" s="25">
        <f>IF(B28=0,0,B25/B28)</f>
        <v/>
      </c>
      <c r="C29" s="25">
        <f>IF(C28=0,0,C25/C28)</f>
        <v/>
      </c>
      <c r="D29" s="25">
        <f>IF(D28=0,0,D25/D28)</f>
        <v/>
      </c>
      <c r="E29" s="25">
        <f>IF(E28=0,0,E25/E28)</f>
        <v/>
      </c>
      <c r="F29" s="25">
        <f>IF(F28=0,0,F25/F28)</f>
        <v/>
      </c>
      <c r="G29" s="25">
        <f>IF(G28=0,0,G25/G28)</f>
        <v/>
      </c>
    </row>
    <row r="30">
      <c r="A30" t="inlineStr">
        <is>
          <t>24ヶ月ROI倍率</t>
        </is>
      </c>
      <c r="B30" s="20">
        <f>IF(B28=0,0,B26/B28)</f>
        <v/>
      </c>
      <c r="C30" s="20">
        <f>IF(C28=0,0,C26/C28)</f>
        <v/>
      </c>
      <c r="D30" s="20">
        <f>IF(D28=0,0,D26/D28)</f>
        <v/>
      </c>
      <c r="E30" s="20">
        <f>IF(E28=0,0,E26/E28)</f>
        <v/>
      </c>
      <c r="F30" s="20">
        <f>IF(F28=0,0,F26/F28)</f>
        <v/>
      </c>
      <c r="G30" s="20">
        <f>IF(G28=0,0,G26/G28)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ギミック営業ROI分析（プラン別）</t>
        </is>
      </c>
    </row>
    <row r="3">
      <c r="A3" s="2" t="inlineStr">
        <is>
          <t>【現在のレバー設定でのプラン別ROI】</t>
        </is>
      </c>
      <c r="B3" s="3" t="n"/>
      <c r="C3" s="3" t="n"/>
      <c r="D3" s="3" t="n"/>
      <c r="E3" s="3" t="n"/>
    </row>
    <row r="4">
      <c r="A4" s="15" t="inlineStr">
        <is>
          <t>項目</t>
        </is>
      </c>
      <c r="B4" s="15" t="inlineStr">
        <is>
          <t>ライト</t>
        </is>
      </c>
      <c r="C4" s="15" t="inlineStr">
        <is>
          <t>スタンダード</t>
        </is>
      </c>
      <c r="D4" s="15" t="inlineStr">
        <is>
          <t>プレミアム</t>
        </is>
      </c>
    </row>
    <row r="5">
      <c r="A5" t="inlineStr">
        <is>
          <t>1案件あたり営業コスト</t>
        </is>
      </c>
      <c r="B5" s="5">
        <f>'前提'!$B$24</f>
        <v/>
      </c>
      <c r="C5" s="5">
        <f>'前提'!$B$24</f>
        <v/>
      </c>
      <c r="D5" s="5">
        <f>'前提'!$B$24</f>
        <v/>
      </c>
    </row>
    <row r="6">
      <c r="A6" t="inlineStr">
        <is>
          <t>初期受取</t>
        </is>
      </c>
      <c r="B6" s="5">
        <f>'前提'!$C$5*(1-'前提'!$B$19)*'前提'!$B$18</f>
        <v/>
      </c>
      <c r="C6" s="5">
        <f>'前提'!$C$6*(1-'前提'!$B$19)*'前提'!$B$18</f>
        <v/>
      </c>
      <c r="D6" s="5">
        <f>'前提'!$C$7*(1-'前提'!$B$19)*'前提'!$B$18</f>
        <v/>
      </c>
    </row>
    <row r="7">
      <c r="A7" t="inlineStr">
        <is>
          <t>月額受取</t>
        </is>
      </c>
      <c r="B7" s="5">
        <f>'前提'!$B$5*'前提'!$B$17</f>
        <v/>
      </c>
      <c r="C7" s="5">
        <f>'前提'!$B$6*'前提'!$B$17</f>
        <v/>
      </c>
      <c r="D7" s="5">
        <f>'前提'!$B$7*'前提'!$B$17</f>
        <v/>
      </c>
    </row>
    <row r="8">
      <c r="A8" t="inlineStr">
        <is>
          <t>12ヶ月累計受取</t>
        </is>
      </c>
      <c r="B8" s="22">
        <f>B6+B7*'前提'!$B$14</f>
        <v/>
      </c>
      <c r="C8" s="22">
        <f>C6+C7*'前提'!$B$14</f>
        <v/>
      </c>
      <c r="D8" s="22">
        <f>D6+D7*'前提'!$B$14</f>
        <v/>
      </c>
    </row>
    <row r="9">
      <c r="A9" t="inlineStr">
        <is>
          <t>24ヶ月累計受取</t>
        </is>
      </c>
      <c r="B9" s="5">
        <f>B6+B7*24</f>
        <v/>
      </c>
      <c r="C9" s="5">
        <f>C6+C7*24</f>
        <v/>
      </c>
      <c r="D9" s="5">
        <f>D6+D7*24</f>
        <v/>
      </c>
    </row>
    <row r="10">
      <c r="A10" t="inlineStr">
        <is>
          <t>50ヶ月累計受取（LTV）</t>
        </is>
      </c>
      <c r="B10" s="22">
        <f>B6+B7*'前提'!$B$13</f>
        <v/>
      </c>
      <c r="C10" s="22">
        <f>C6+C7*'前提'!$B$13</f>
        <v/>
      </c>
      <c r="D10" s="22">
        <f>D6+D7*'前提'!$B$13</f>
        <v/>
      </c>
    </row>
    <row r="11">
      <c r="A11" t="inlineStr"/>
      <c r="B11" s="5" t="inlineStr"/>
      <c r="C11" s="5" t="inlineStr"/>
      <c r="D11" s="5" t="inlineStr"/>
    </row>
    <row r="12">
      <c r="A12" t="inlineStr">
        <is>
          <t>12ヶ月ROI倍率</t>
        </is>
      </c>
    </row>
    <row r="13">
      <c r="A13" t="inlineStr">
        <is>
          <t>24ヶ月ROI倍率</t>
        </is>
      </c>
      <c r="B13" s="26">
        <f>IF(B5=0,0,B8/B5)</f>
        <v/>
      </c>
      <c r="C13" s="26">
        <f>IF(C5=0,0,C8/C5)</f>
        <v/>
      </c>
      <c r="D13" s="26">
        <f>IF(D5=0,0,D8/D5)</f>
        <v/>
      </c>
    </row>
    <row r="14">
      <c r="A14" t="inlineStr">
        <is>
          <t>50ヶ月ROI倍率</t>
        </is>
      </c>
      <c r="B14" s="27">
        <f>IF(B5=0,0,B9/B5)</f>
        <v/>
      </c>
      <c r="C14" s="27">
        <f>IF(C5=0,0,C9/C5)</f>
        <v/>
      </c>
      <c r="D14" s="27">
        <f>IF(D5=0,0,D9/D5)</f>
        <v/>
      </c>
    </row>
    <row r="15">
      <c r="A15" t="inlineStr">
        <is>
          <t>営業コスト回収月数</t>
        </is>
      </c>
      <c r="B15" s="26">
        <f>IF(B5=0,0,B10/B5)</f>
        <v/>
      </c>
      <c r="C15" s="26">
        <f>IF(C5=0,0,C10/C5)</f>
        <v/>
      </c>
      <c r="D15" s="26">
        <f>IF(D5=0,0,D10/D5)</f>
        <v/>
      </c>
    </row>
    <row r="16">
      <c r="B16" s="21">
        <f>IF(B7&lt;=0,999,IF(B6&gt;=B5,0,(B5-B6)/B7))</f>
        <v/>
      </c>
      <c r="C16" s="21">
        <f>IF(C7&lt;=0,999,IF(C6&gt;=C5,0,(C5-C6)/C7))</f>
        <v/>
      </c>
      <c r="D16" s="21">
        <f>IF(D7&lt;=0,999,IF(D6&gt;=D5,0,(D5-D6)/D7))</f>
        <v/>
      </c>
    </row>
    <row r="18">
      <c r="A18" s="2" t="inlineStr">
        <is>
          <t>【ROI判定ガイド】</t>
        </is>
      </c>
      <c r="B18" s="3" t="n"/>
      <c r="C18" s="3" t="n"/>
      <c r="D18" s="3" t="n"/>
      <c r="E18" s="3" t="n"/>
    </row>
    <row r="19">
      <c r="A19" t="inlineStr">
        <is>
          <t>ROI 10倍以上 = 非常に魅力的</t>
        </is>
      </c>
    </row>
    <row r="20">
      <c r="A20" t="inlineStr">
        <is>
          <t>ROI 5-10倍 = 魅力的</t>
        </is>
      </c>
    </row>
    <row r="21">
      <c r="A21" t="inlineStr">
        <is>
          <t>ROI 3-5倍 = 妥当</t>
        </is>
      </c>
    </row>
    <row r="22">
      <c r="A22" t="inlineStr">
        <is>
          <t>ROI 1-3倍 = ギリギリ</t>
        </is>
      </c>
    </row>
    <row r="23">
      <c r="A23" t="inlineStr">
        <is>
          <t>ROI 1倍未満 = 営業コスト割れ⛔</t>
        </is>
      </c>
    </row>
    <row r="25">
      <c r="A25" s="17" t="inlineStr">
        <is>
          <t>【年間収益シミュレーション】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4" t="inlineStr">
        <is>
          <t>年間紹介件数</t>
        </is>
      </c>
      <c r="B26" s="4" t="inlineStr">
        <is>
          <t>総営業コスト</t>
        </is>
      </c>
      <c r="C26" s="4" t="inlineStr">
        <is>
          <t>ライト90%時</t>
        </is>
      </c>
      <c r="D26" s="4" t="inlineStr">
        <is>
          <t>標準ミックス</t>
        </is>
      </c>
      <c r="E26" s="4" t="inlineStr">
        <is>
          <t>プレミアム比率高</t>
        </is>
      </c>
      <c r="F26" s="4" t="inlineStr">
        <is>
          <t>ライト90%ROI</t>
        </is>
      </c>
    </row>
    <row r="27">
      <c r="A27" t="inlineStr">
        <is>
          <t>10件/年</t>
        </is>
      </c>
      <c r="B27" s="5">
        <f>10*'前提'!$B$24</f>
        <v/>
      </c>
      <c r="C27" s="5">
        <f>10*B8</f>
        <v/>
      </c>
      <c r="D27" s="5">
        <f>10*(0.85*B8+0.12*C8+0.03*D8)</f>
        <v/>
      </c>
      <c r="E27" s="5">
        <f>10*(0.70*B8+0.20*C8+0.10*D8)</f>
        <v/>
      </c>
      <c r="F27" s="20">
        <f>IF(B27=0,0,C27/B27)</f>
        <v/>
      </c>
    </row>
    <row r="28">
      <c r="A28" t="inlineStr">
        <is>
          <t>30件/年</t>
        </is>
      </c>
      <c r="B28" s="5">
        <f>30*'前提'!$B$24</f>
        <v/>
      </c>
      <c r="C28" s="5">
        <f>30*B8</f>
        <v/>
      </c>
      <c r="D28" s="5">
        <f>30*(0.85*B8+0.12*C8+0.03*D8)</f>
        <v/>
      </c>
      <c r="E28" s="5">
        <f>30*(0.70*B8+0.20*C8+0.10*D8)</f>
        <v/>
      </c>
      <c r="F28" s="20">
        <f>IF(B28=0,0,C28/B28)</f>
        <v/>
      </c>
    </row>
    <row r="29">
      <c r="A29" t="inlineStr">
        <is>
          <t>50件/年</t>
        </is>
      </c>
      <c r="B29" s="5">
        <f>50*'前提'!$B$24</f>
        <v/>
      </c>
      <c r="C29" s="5">
        <f>50*B8</f>
        <v/>
      </c>
      <c r="D29" s="5">
        <f>50*(0.85*B8+0.12*C8+0.03*D8)</f>
        <v/>
      </c>
      <c r="E29" s="5">
        <f>50*(0.70*B8+0.20*C8+0.10*D8)</f>
        <v/>
      </c>
      <c r="F29" s="20">
        <f>IF(B29=0,0,C29/B29)</f>
        <v/>
      </c>
    </row>
    <row r="30">
      <c r="A30" t="inlineStr">
        <is>
          <t>100件/年</t>
        </is>
      </c>
      <c r="B30" s="5">
        <f>100*'前提'!$B$24</f>
        <v/>
      </c>
      <c r="C30" s="5">
        <f>100*B8</f>
        <v/>
      </c>
      <c r="D30" s="5">
        <f>100*(0.85*B8+0.12*C8+0.03*D8)</f>
        <v/>
      </c>
      <c r="E30" s="5">
        <f>100*(0.70*B8+0.20*C8+0.10*D8)</f>
        <v/>
      </c>
      <c r="F30" s="20">
        <f>IF(B30=0,0,C30/B30)</f>
        <v/>
      </c>
    </row>
    <row r="31">
      <c r="A31" t="inlineStr">
        <is>
          <t>200件/年</t>
        </is>
      </c>
      <c r="B31" s="5">
        <f>200*'前提'!$B$24</f>
        <v/>
      </c>
      <c r="C31" s="5">
        <f>200*B8</f>
        <v/>
      </c>
      <c r="D31" s="5">
        <f>200*(0.85*B8+0.12*C8+0.03*D8)</f>
        <v/>
      </c>
      <c r="E31" s="5">
        <f>200*(0.70*B8+0.20*C8+0.10*D8)</f>
        <v/>
      </c>
      <c r="F31" s="20">
        <f>IF(B31=0,0,C31/B31)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2026-04-22T14:34:03Z</dcterms:created>
  <dcterms:modified xsi:type="dcterms:W3CDTF">2026-04-22T14:36:41Z</dcterms:modified>
</cp:coreProperties>
</file>