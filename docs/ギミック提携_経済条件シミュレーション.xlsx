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ミュレータ" sheetId="1" state="visible" r:id="rId1"/>
    <sheet name="交渉カード8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倍&quot;"/>
  </numFmts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C00000"/>
    </font>
    <font>
      <b val="1"/>
    </font>
    <font>
      <b val="1"/>
      <sz val="12"/>
    </font>
    <font>
      <i val="1"/>
      <color rgb="00666666"/>
    </font>
    <font>
      <b val="1"/>
      <color rgb="00FFFFFF"/>
      <sz val="11"/>
    </font>
    <font>
      <sz val="10"/>
    </font>
    <font>
      <i val="1"/>
    </font>
    <font>
      <b val="1"/>
      <color rgb="00FFFFFF"/>
      <sz val="10"/>
    </font>
    <font>
      <b val="1"/>
      <color rgb="001F4E78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9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3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5" borderId="1" pivotButton="0" quotePrefix="0" xfId="0"/>
    <xf numFmtId="3" fontId="0" fillId="5" borderId="1" applyAlignment="1" pivotButton="0" quotePrefix="0" xfId="0">
      <alignment horizontal="center" vertical="center"/>
    </xf>
    <xf numFmtId="0" fontId="7" fillId="5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6" borderId="1" pivotButton="0" quotePrefix="0" xfId="0"/>
    <xf numFmtId="3" fontId="0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0" fontId="3" fillId="7" borderId="1" pivotButton="0" quotePrefix="0" xfId="0"/>
    <xf numFmtId="3" fontId="3" fillId="7" borderId="1" applyAlignment="1" pivotButton="0" quotePrefix="0" xfId="0">
      <alignment horizontal="center" vertical="center"/>
    </xf>
    <xf numFmtId="0" fontId="0" fillId="8" borderId="1" pivotButton="0" quotePrefix="0" xfId="0"/>
    <xf numFmtId="3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0" fillId="4" borderId="0" pivotButton="0" quotePrefix="0" xfId="0"/>
    <xf numFmtId="0" fontId="7" fillId="0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9" fontId="0" fillId="7" borderId="1" applyAlignment="1" pivotButton="0" quotePrefix="0" xfId="0">
      <alignment horizontal="center" vertical="center"/>
    </xf>
    <xf numFmtId="3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9" fontId="0" fillId="9" borderId="1" applyAlignment="1" pivotButton="0" quotePrefix="0" xfId="0">
      <alignment horizontal="center" vertical="center"/>
    </xf>
    <xf numFmtId="3" fontId="0" fillId="9" borderId="1" applyAlignment="1" pivotButton="0" quotePrefix="0" xfId="0">
      <alignment horizontal="center" vertical="center"/>
    </xf>
    <xf numFmtId="3" fontId="3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9" fontId="0" fillId="10" borderId="1" applyAlignment="1" pivotButton="0" quotePrefix="0" xfId="0">
      <alignment horizontal="center" vertical="center"/>
    </xf>
    <xf numFmtId="3" fontId="0" fillId="10" borderId="1" applyAlignment="1" pivotButton="0" quotePrefix="0" xfId="0">
      <alignment horizontal="center" vertical="center"/>
    </xf>
    <xf numFmtId="3" fontId="3" fillId="10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9" fontId="0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9" fontId="0" fillId="11" borderId="1" applyAlignment="1" pivotButton="0" quotePrefix="0" xfId="0">
      <alignment horizontal="center" vertical="center"/>
    </xf>
    <xf numFmtId="3" fontId="0" fillId="11" borderId="1" applyAlignment="1" pivotButton="0" quotePrefix="0" xfId="0">
      <alignment horizontal="center" vertical="center"/>
    </xf>
    <xf numFmtId="3" fontId="3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" customWidth="1" min="6" max="6"/>
    <col width="30" customWidth="1" min="7" max="7"/>
  </cols>
  <sheetData>
    <row r="1" ht="30" customHeight="1">
      <c r="A1" s="1" t="inlineStr">
        <is>
          <t>ギミック提携 経済条件シミュレータ</t>
        </is>
      </c>
    </row>
    <row r="2">
      <c r="A2" s="2" t="inlineStr">
        <is>
          <t>★ 黄色セル（B4, B5）を変えると、下の表が全部連動します</t>
        </is>
      </c>
    </row>
    <row r="4">
      <c r="A4" s="3" t="inlineStr">
        <is>
          <t>【レバー】月額シェア率（ギミック取り分）</t>
        </is>
      </c>
      <c r="B4" s="4" t="n">
        <v>0.5</v>
      </c>
      <c r="G4" s="5" t="inlineStr">
        <is>
          <t>例: 50% = 月額の半分をギミックへ</t>
        </is>
      </c>
    </row>
    <row r="5">
      <c r="A5" s="3" t="inlineStr">
        <is>
          <t>【レバー】初期費用 ギミック取り分（¥）</t>
        </is>
      </c>
      <c r="B5" s="6" t="n">
        <v>0</v>
      </c>
      <c r="G5" s="5" t="inlineStr">
        <is>
          <t>例: ¥25,000 → ライト初期¥150k-¥25k=¥125kが弊社取り分</t>
        </is>
      </c>
    </row>
    <row r="7">
      <c r="A7" s="7" t="inlineStr">
        <is>
          <t>プラン</t>
        </is>
      </c>
      <c r="B7" s="7" t="inlineStr">
        <is>
          <t>ライト</t>
        </is>
      </c>
      <c r="C7" s="7" t="inlineStr">
        <is>
          <t>スタンダード</t>
        </is>
      </c>
      <c r="D7" s="7" t="inlineStr">
        <is>
          <t>プレミアム(3院)</t>
        </is>
      </c>
    </row>
    <row r="8">
      <c r="A8" s="8" t="inlineStr">
        <is>
          <t>月額（クリニック支払）</t>
        </is>
      </c>
      <c r="B8" s="9" t="n">
        <v>8000</v>
      </c>
      <c r="C8" s="9" t="n">
        <v>15000</v>
      </c>
      <c r="D8" s="9" t="n">
        <v>30000</v>
      </c>
    </row>
    <row r="9">
      <c r="A9" s="8" t="inlineStr">
        <is>
          <t>初期費用（クリニック支払）</t>
        </is>
      </c>
      <c r="B9" s="9" t="n">
        <v>150000</v>
      </c>
      <c r="C9" s="9" t="n">
        <v>300000</v>
      </c>
      <c r="D9" s="9" t="n">
        <v>500000</v>
      </c>
    </row>
    <row r="10">
      <c r="A10" s="10" t="inlineStr">
        <is>
          <t>構築工数(h)</t>
        </is>
      </c>
      <c r="B10" s="11" t="n">
        <v>5</v>
      </c>
      <c r="C10" s="11" t="n">
        <v>10</v>
      </c>
      <c r="D10" s="11" t="n">
        <v>20</v>
      </c>
    </row>
    <row r="11">
      <c r="A11" s="10" t="inlineStr">
        <is>
          <t>メンテ工数(h/月)</t>
        </is>
      </c>
      <c r="B11" s="11" t="n">
        <v>1</v>
      </c>
      <c r="C11" s="11" t="n">
        <v>2</v>
      </c>
      <c r="D11" s="11" t="n">
        <v>3</v>
      </c>
    </row>
    <row r="13">
      <c r="A13" s="7" t="inlineStr">
        <is>
          <t>◆ exmore側</t>
        </is>
      </c>
      <c r="B13" s="12" t="inlineStr"/>
      <c r="C13" s="12" t="inlineStr"/>
      <c r="D13" s="12" t="inlineStr"/>
    </row>
    <row r="14">
      <c r="A14" s="13" t="inlineStr">
        <is>
          <t>初期受取</t>
        </is>
      </c>
      <c r="B14" s="14">
        <f>B9-$B$5</f>
        <v/>
      </c>
      <c r="C14" s="14">
        <f>C9-($B$5*C9/B9)</f>
        <v/>
      </c>
      <c r="D14" s="14">
        <f>D9-($B$5*D9/B9)</f>
        <v/>
      </c>
    </row>
    <row r="15">
      <c r="A15" s="13" t="inlineStr">
        <is>
          <t>月額受取</t>
        </is>
      </c>
      <c r="B15" s="14">
        <f>B8*(1-$B$4)</f>
        <v/>
      </c>
      <c r="C15" s="14">
        <f>C8*(1-$B$4)</f>
        <v/>
      </c>
      <c r="D15" s="14">
        <f>D8*(1-$B$4)</f>
        <v/>
      </c>
    </row>
    <row r="16">
      <c r="A16" s="13" t="inlineStr">
        <is>
          <t>月次限界利益（-工数-LLM）</t>
        </is>
      </c>
      <c r="B16" s="15">
        <f>B15-B11*1200-12</f>
        <v/>
      </c>
      <c r="C16" s="15">
        <f>C15-C11*1200-12</f>
        <v/>
      </c>
      <c r="D16" s="15">
        <f>D15-D11*1200-12</f>
        <v/>
      </c>
    </row>
    <row r="17">
      <c r="A17" s="16" t="inlineStr">
        <is>
          <t>12ヶ月粗利 ★契約期間</t>
        </is>
      </c>
      <c r="B17" s="17">
        <f>B14-B10*1200+B16*12</f>
        <v/>
      </c>
      <c r="C17" s="17">
        <f>C14-C10*1200+C16*12</f>
        <v/>
      </c>
      <c r="D17" s="17">
        <f>D14-D10*1200+D16*12</f>
        <v/>
      </c>
    </row>
    <row r="18">
      <c r="A18" s="13" t="inlineStr">
        <is>
          <t>24ヶ月粗利</t>
        </is>
      </c>
      <c r="B18" s="14">
        <f>B14-B10*1200+B16*24</f>
        <v/>
      </c>
      <c r="C18" s="14">
        <f>C14-C10*1200+C16*24</f>
        <v/>
      </c>
      <c r="D18" s="14">
        <f>D14-D10*1200+D16*24</f>
        <v/>
      </c>
    </row>
    <row r="19">
      <c r="A19" s="16" t="inlineStr">
        <is>
          <t>50ヶ月粗利 ★理論LTV</t>
        </is>
      </c>
      <c r="B19" s="17">
        <f>B14-B10*1200+B16*50</f>
        <v/>
      </c>
      <c r="C19" s="17">
        <f>C14-C10*1200+C16*50</f>
        <v/>
      </c>
      <c r="D19" s="17">
        <f>D14-D10*1200+D16*50</f>
        <v/>
      </c>
    </row>
    <row r="21">
      <c r="A21" s="7" t="inlineStr">
        <is>
          <t>◆ ギミック側</t>
        </is>
      </c>
      <c r="B21" s="12" t="inlineStr"/>
      <c r="C21" s="12" t="inlineStr"/>
      <c r="D21" s="12" t="inlineStr"/>
    </row>
    <row r="22">
      <c r="A22" s="18" t="inlineStr">
        <is>
          <t>初期受取</t>
        </is>
      </c>
      <c r="B22" s="19">
        <f>$B$5</f>
        <v/>
      </c>
      <c r="C22" s="19">
        <f>$B$5*C9/B9</f>
        <v/>
      </c>
      <c r="D22" s="19">
        <f>$B$5*D9/B9</f>
        <v/>
      </c>
    </row>
    <row r="23">
      <c r="A23" s="18" t="inlineStr">
        <is>
          <t>月額受取</t>
        </is>
      </c>
      <c r="B23" s="19">
        <f>B8*$B$4</f>
        <v/>
      </c>
      <c r="C23" s="19">
        <f>C8*$B$4</f>
        <v/>
      </c>
      <c r="D23" s="19">
        <f>D8*$B$4</f>
        <v/>
      </c>
    </row>
    <row r="24">
      <c r="A24" s="16" t="inlineStr">
        <is>
          <t>12ヶ月受取 ★</t>
        </is>
      </c>
      <c r="B24" s="17">
        <f>B22+B23*12</f>
        <v/>
      </c>
      <c r="C24" s="17">
        <f>C22+C23*12</f>
        <v/>
      </c>
      <c r="D24" s="17">
        <f>D22+D23*12</f>
        <v/>
      </c>
    </row>
    <row r="25">
      <c r="A25" s="16" t="inlineStr">
        <is>
          <t>50ヶ月受取 ★LTV</t>
        </is>
      </c>
      <c r="B25" s="17">
        <f>B22+B23*50</f>
        <v/>
      </c>
      <c r="C25" s="17">
        <f>C22+C23*50</f>
        <v/>
      </c>
      <c r="D25" s="17">
        <f>D22+D23*50</f>
        <v/>
      </c>
    </row>
    <row r="26">
      <c r="A26" s="18" t="inlineStr">
        <is>
          <t>ROI倍率（12m÷営業¥15k）</t>
        </is>
      </c>
      <c r="B26" s="20">
        <f>B24/15000</f>
        <v/>
      </c>
      <c r="C26" s="20">
        <f>C24/15000</f>
        <v/>
      </c>
      <c r="D26" s="20">
        <f>D24/15000</f>
        <v/>
      </c>
    </row>
    <row r="28">
      <c r="A28" s="7" t="inlineStr">
        <is>
          <t>◆ ライトプラン 感度表（月シェア × 初期ギミック取り分）</t>
        </is>
      </c>
      <c r="B28" s="21" t="n"/>
      <c r="C28" s="21" t="n"/>
      <c r="D28" s="21" t="n"/>
      <c r="E28" s="21" t="n"/>
      <c r="F28" s="21" t="n"/>
      <c r="G28" s="21" t="n"/>
    </row>
    <row r="29">
      <c r="A29" s="22" t="inlineStr">
        <is>
          <t>下: ギミック初期 \ 右: 月シェア率</t>
        </is>
      </c>
      <c r="B29" s="23" t="n">
        <v>0.4</v>
      </c>
      <c r="C29" s="23" t="n">
        <v>0.45</v>
      </c>
      <c r="D29" s="23" t="n">
        <v>0.5</v>
      </c>
      <c r="E29" s="23" t="n">
        <v>0.55</v>
      </c>
      <c r="F29" s="23" t="n">
        <v>0.6</v>
      </c>
    </row>
    <row r="30">
      <c r="A30" s="24" t="n">
        <v>0</v>
      </c>
      <c r="B30" s="25">
        <f>(150000-0)-6000+(8000*(1-0.4)-1212)*12</f>
        <v/>
      </c>
      <c r="C30" s="25">
        <f>(150000-0)-6000+(8000*(1-0.45)-1212)*12</f>
        <v/>
      </c>
      <c r="D30" s="25">
        <f>(150000-0)-6000+(8000*(1-0.5)-1212)*12</f>
        <v/>
      </c>
      <c r="E30" s="25">
        <f>(150000-0)-6000+(8000*(1-0.55)-1212)*12</f>
        <v/>
      </c>
      <c r="F30" s="25">
        <f>(150000-0)-6000+(8000*(1-0.6)-1212)*12</f>
        <v/>
      </c>
      <c r="G30" s="26" t="inlineStr">
        <is>
          <t>← exmore 12m粗利</t>
        </is>
      </c>
    </row>
    <row r="31">
      <c r="A31" s="24" t="n">
        <v>25000</v>
      </c>
      <c r="B31" s="25">
        <f>(150000-25000)-6000+(8000*(1-0.4)-1212)*12</f>
        <v/>
      </c>
      <c r="C31" s="25">
        <f>(150000-25000)-6000+(8000*(1-0.45)-1212)*12</f>
        <v/>
      </c>
      <c r="D31" s="25">
        <f>(150000-25000)-6000+(8000*(1-0.5)-1212)*12</f>
        <v/>
      </c>
      <c r="E31" s="25">
        <f>(150000-25000)-6000+(8000*(1-0.55)-1212)*12</f>
        <v/>
      </c>
      <c r="F31" s="25">
        <f>(150000-25000)-6000+(8000*(1-0.6)-1212)*12</f>
        <v/>
      </c>
    </row>
    <row r="32">
      <c r="A32" s="24" t="n">
        <v>50000</v>
      </c>
      <c r="B32" s="25">
        <f>(150000-50000)-6000+(8000*(1-0.4)-1212)*12</f>
        <v/>
      </c>
      <c r="C32" s="25">
        <f>(150000-50000)-6000+(8000*(1-0.45)-1212)*12</f>
        <v/>
      </c>
      <c r="D32" s="25">
        <f>(150000-50000)-6000+(8000*(1-0.5)-1212)*12</f>
        <v/>
      </c>
      <c r="E32" s="25">
        <f>(150000-50000)-6000+(8000*(1-0.55)-1212)*12</f>
        <v/>
      </c>
      <c r="F32" s="25">
        <f>(150000-50000)-6000+(8000*(1-0.6)-1212)*12</f>
        <v/>
      </c>
    </row>
    <row r="33">
      <c r="A33" s="24" t="n">
        <v>75000</v>
      </c>
      <c r="B33" s="25">
        <f>(150000-75000)-6000+(8000*(1-0.4)-1212)*12</f>
        <v/>
      </c>
      <c r="C33" s="25">
        <f>(150000-75000)-6000+(8000*(1-0.45)-1212)*12</f>
        <v/>
      </c>
      <c r="D33" s="25">
        <f>(150000-75000)-6000+(8000*(1-0.5)-1212)*12</f>
        <v/>
      </c>
      <c r="E33" s="25">
        <f>(150000-75000)-6000+(8000*(1-0.55)-1212)*12</f>
        <v/>
      </c>
      <c r="F33" s="25">
        <f>(150000-75000)-6000+(8000*(1-0.6)-1212)*12</f>
        <v/>
      </c>
    </row>
    <row r="34">
      <c r="A34" s="24" t="n">
        <v>100000</v>
      </c>
      <c r="B34" s="25">
        <f>(150000-100000)-6000+(8000*(1-0.4)-1212)*12</f>
        <v/>
      </c>
      <c r="C34" s="25">
        <f>(150000-100000)-6000+(8000*(1-0.45)-1212)*12</f>
        <v/>
      </c>
      <c r="D34" s="25">
        <f>(150000-100000)-6000+(8000*(1-0.5)-1212)*12</f>
        <v/>
      </c>
      <c r="E34" s="25">
        <f>(150000-100000)-6000+(8000*(1-0.55)-1212)*12</f>
        <v/>
      </c>
      <c r="F34" s="25">
        <f>(150000-100000)-6000+(8000*(1-0.6)-1212)*12</f>
        <v/>
      </c>
    </row>
    <row r="35">
      <c r="A35" s="24" t="n">
        <v>125000</v>
      </c>
      <c r="B35" s="25">
        <f>(150000-125000)-6000+(8000*(1-0.4)-1212)*12</f>
        <v/>
      </c>
      <c r="C35" s="25">
        <f>(150000-125000)-6000+(8000*(1-0.45)-1212)*12</f>
        <v/>
      </c>
      <c r="D35" s="25">
        <f>(150000-125000)-6000+(8000*(1-0.5)-1212)*12</f>
        <v/>
      </c>
      <c r="E35" s="25">
        <f>(150000-125000)-6000+(8000*(1-0.55)-1212)*12</f>
        <v/>
      </c>
      <c r="F35" s="25">
        <f>(150000-125000)-6000+(8000*(1-0.6)-1212)*12</f>
        <v/>
      </c>
    </row>
    <row r="36">
      <c r="A36" s="24" t="n">
        <v>150000</v>
      </c>
      <c r="B36" s="25">
        <f>(150000-150000)-6000+(8000*(1-0.4)-1212)*12</f>
        <v/>
      </c>
      <c r="C36" s="25">
        <f>(150000-150000)-6000+(8000*(1-0.45)-1212)*12</f>
        <v/>
      </c>
      <c r="D36" s="25">
        <f>(150000-150000)-6000+(8000*(1-0.5)-1212)*12</f>
        <v/>
      </c>
      <c r="E36" s="25">
        <f>(150000-150000)-6000+(8000*(1-0.55)-1212)*12</f>
        <v/>
      </c>
      <c r="F36" s="25">
        <f>(150000-150000)-6000+(8000*(1-0.6)-1212)*12</f>
        <v/>
      </c>
    </row>
    <row r="38">
      <c r="A38" s="7" t="inlineStr">
        <is>
          <t>◆ ギミック12m受取マトリクス</t>
        </is>
      </c>
      <c r="B38" s="21" t="n"/>
      <c r="C38" s="21" t="n"/>
      <c r="D38" s="21" t="n"/>
      <c r="E38" s="21" t="n"/>
      <c r="F38" s="21" t="n"/>
      <c r="G38" s="21" t="n"/>
    </row>
    <row r="39">
      <c r="A39" s="22" t="inlineStr">
        <is>
          <t>下: ギミック初期 \ 右: 月シェア率</t>
        </is>
      </c>
      <c r="B39" s="23" t="n">
        <v>0.4</v>
      </c>
      <c r="C39" s="23" t="n">
        <v>0.45</v>
      </c>
      <c r="D39" s="23" t="n">
        <v>0.5</v>
      </c>
      <c r="E39" s="23" t="n">
        <v>0.55</v>
      </c>
      <c r="F39" s="23" t="n">
        <v>0.6</v>
      </c>
    </row>
    <row r="40">
      <c r="A40" s="24" t="n">
        <v>0</v>
      </c>
      <c r="B40" s="25">
        <f>0+8000*0.4*12</f>
        <v/>
      </c>
      <c r="C40" s="25">
        <f>0+8000*0.45*12</f>
        <v/>
      </c>
      <c r="D40" s="25">
        <f>0+8000*0.5*12</f>
        <v/>
      </c>
      <c r="E40" s="25">
        <f>0+8000*0.55*12</f>
        <v/>
      </c>
      <c r="F40" s="25">
        <f>0+8000*0.6*12</f>
        <v/>
      </c>
    </row>
    <row r="41">
      <c r="A41" s="24" t="n">
        <v>25000</v>
      </c>
      <c r="B41" s="25">
        <f>25000+8000*0.4*12</f>
        <v/>
      </c>
      <c r="C41" s="25">
        <f>25000+8000*0.45*12</f>
        <v/>
      </c>
      <c r="D41" s="25">
        <f>25000+8000*0.5*12</f>
        <v/>
      </c>
      <c r="E41" s="25">
        <f>25000+8000*0.55*12</f>
        <v/>
      </c>
      <c r="F41" s="25">
        <f>25000+8000*0.6*12</f>
        <v/>
      </c>
    </row>
    <row r="42">
      <c r="A42" s="24" t="n">
        <v>50000</v>
      </c>
      <c r="B42" s="25">
        <f>50000+8000*0.4*12</f>
        <v/>
      </c>
      <c r="C42" s="25">
        <f>50000+8000*0.45*12</f>
        <v/>
      </c>
      <c r="D42" s="25">
        <f>50000+8000*0.5*12</f>
        <v/>
      </c>
      <c r="E42" s="25">
        <f>50000+8000*0.55*12</f>
        <v/>
      </c>
      <c r="F42" s="25">
        <f>50000+8000*0.6*12</f>
        <v/>
      </c>
    </row>
    <row r="43">
      <c r="A43" s="24" t="n">
        <v>75000</v>
      </c>
      <c r="B43" s="25">
        <f>75000+8000*0.4*12</f>
        <v/>
      </c>
      <c r="C43" s="25">
        <f>75000+8000*0.45*12</f>
        <v/>
      </c>
      <c r="D43" s="25">
        <f>75000+8000*0.5*12</f>
        <v/>
      </c>
      <c r="E43" s="25">
        <f>75000+8000*0.55*12</f>
        <v/>
      </c>
      <c r="F43" s="25">
        <f>75000+8000*0.6*12</f>
        <v/>
      </c>
    </row>
    <row r="44">
      <c r="A44" s="24" t="n">
        <v>100000</v>
      </c>
      <c r="B44" s="25">
        <f>100000+8000*0.4*12</f>
        <v/>
      </c>
      <c r="C44" s="25">
        <f>100000+8000*0.45*12</f>
        <v/>
      </c>
      <c r="D44" s="25">
        <f>100000+8000*0.5*12</f>
        <v/>
      </c>
      <c r="E44" s="25">
        <f>100000+8000*0.55*12</f>
        <v/>
      </c>
      <c r="F44" s="25">
        <f>100000+8000*0.6*12</f>
        <v/>
      </c>
    </row>
    <row r="45">
      <c r="A45" s="24" t="n">
        <v>125000</v>
      </c>
      <c r="B45" s="25">
        <f>125000+8000*0.4*12</f>
        <v/>
      </c>
      <c r="C45" s="25">
        <f>125000+8000*0.45*12</f>
        <v/>
      </c>
      <c r="D45" s="25">
        <f>125000+8000*0.5*12</f>
        <v/>
      </c>
      <c r="E45" s="25">
        <f>125000+8000*0.55*12</f>
        <v/>
      </c>
      <c r="F45" s="25">
        <f>125000+8000*0.6*12</f>
        <v/>
      </c>
    </row>
    <row r="46">
      <c r="A46" s="24" t="n">
        <v>150000</v>
      </c>
      <c r="B46" s="25">
        <f>150000+8000*0.4*12</f>
        <v/>
      </c>
      <c r="C46" s="25">
        <f>150000+8000*0.45*12</f>
        <v/>
      </c>
      <c r="D46" s="25">
        <f>150000+8000*0.5*12</f>
        <v/>
      </c>
      <c r="E46" s="25">
        <f>150000+8000*0.55*12</f>
        <v/>
      </c>
      <c r="F46" s="25">
        <f>150000+8000*0.6*12</f>
        <v/>
      </c>
    </row>
  </sheetData>
  <mergeCells count="2">
    <mergeCell ref="A2:G2"/>
    <mergeCell ref="A1:G1"/>
  </mergeCells>
  <conditionalFormatting sqref="B30:F36">
    <cfRule type="colorScale" priority="1">
      <colorScale>
        <cfvo type="num" val="0"/>
        <cfvo type="num" val="100000"/>
        <cfvo type="num" val="200000"/>
        <color rgb="00F8CBAD"/>
        <color rgb="00FFEB9C"/>
        <color rgb="00C6EFCE"/>
      </colorScale>
    </cfRule>
  </conditionalFormatting>
  <conditionalFormatting sqref="B40:F46">
    <cfRule type="colorScale" priority="2">
      <colorScale>
        <cfvo type="num" val="0"/>
        <cfvo type="num" val="100000"/>
        <cfvo type="num" val="200000"/>
        <color rgb="00FCE4D6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  <col width="36" customWidth="1" min="11" max="11"/>
  </cols>
  <sheetData>
    <row r="1" ht="30" customHeight="1">
      <c r="A1" s="1" t="inlineStr">
        <is>
          <t>交渉カード8枚（ライトプラン）</t>
        </is>
      </c>
    </row>
    <row r="2">
      <c r="A2" s="2" t="inlineStr">
        <is>
          <t>★ 基本案から順に、先方の反応に応じて譲歩カードを出す想定</t>
        </is>
      </c>
    </row>
    <row r="4" ht="40" customHeight="1">
      <c r="A4" s="27" t="inlineStr">
        <is>
          <t>#</t>
        </is>
      </c>
      <c r="B4" s="27" t="inlineStr">
        <is>
          <t>カード名</t>
        </is>
      </c>
      <c r="C4" s="27" t="inlineStr">
        <is>
          <t>月シェア</t>
        </is>
      </c>
      <c r="D4" s="27" t="inlineStr">
        <is>
          <t>弊社
初期</t>
        </is>
      </c>
      <c r="E4" s="27" t="inlineStr">
        <is>
          <t>ギミック
初期</t>
        </is>
      </c>
      <c r="F4" s="27" t="inlineStr">
        <is>
          <t>弊社12m
粗利</t>
        </is>
      </c>
      <c r="G4" s="27" t="inlineStr">
        <is>
          <t>ギミック12m
受取</t>
        </is>
      </c>
      <c r="H4" s="27" t="inlineStr">
        <is>
          <t>ギミック
ROI倍率</t>
        </is>
      </c>
      <c r="I4" s="27" t="inlineStr">
        <is>
          <t>譲歩幅</t>
        </is>
      </c>
      <c r="J4" s="27" t="inlineStr">
        <is>
          <t>判定</t>
        </is>
      </c>
      <c r="K4" s="27" t="inlineStr">
        <is>
          <t>いつ使う？</t>
        </is>
      </c>
    </row>
    <row r="5" ht="45" customHeight="1">
      <c r="A5" s="28" t="inlineStr">
        <is>
          <t>1</t>
        </is>
      </c>
      <c r="B5" s="29" t="inlineStr">
        <is>
          <t>基本案</t>
        </is>
      </c>
      <c r="C5" s="30" t="n">
        <v>0.5</v>
      </c>
      <c r="D5" s="31" t="n">
        <v>150000</v>
      </c>
      <c r="E5" s="31" t="n">
        <v>0</v>
      </c>
      <c r="F5" s="17">
        <f>150000-6000+(8000*(1-0.5)-1212)*12</f>
        <v/>
      </c>
      <c r="G5" s="17">
        <f>0+8000*0.5*12</f>
        <v/>
      </c>
      <c r="H5" s="32">
        <f>G5/15000</f>
        <v/>
      </c>
      <c r="I5" s="31">
        <f>F5-177456</f>
        <v/>
      </c>
      <c r="J5" s="28" t="inlineStr">
        <is>
          <t>✅ 健全</t>
        </is>
      </c>
      <c r="K5" s="33" t="inlineStr">
        <is>
          <t>最初に必ず出す。先方の反応を見る。</t>
        </is>
      </c>
    </row>
    <row r="6" ht="45" customHeight="1">
      <c r="A6" s="34" t="inlineStr">
        <is>
          <t>2</t>
        </is>
      </c>
      <c r="B6" s="35" t="inlineStr">
        <is>
          <t>月微調整</t>
        </is>
      </c>
      <c r="C6" s="36" t="n">
        <v>0.55</v>
      </c>
      <c r="D6" s="37" t="n">
        <v>150000</v>
      </c>
      <c r="E6" s="37" t="n">
        <v>0</v>
      </c>
      <c r="F6" s="38">
        <f>150000-6000+(8000*(1-0.55)-1212)*12</f>
        <v/>
      </c>
      <c r="G6" s="38">
        <f>0+8000*0.55*12</f>
        <v/>
      </c>
      <c r="H6" s="39">
        <f>G6/15000</f>
        <v/>
      </c>
      <c r="I6" s="37">
        <f>F6-177456</f>
        <v/>
      </c>
      <c r="J6" s="34" t="inlineStr">
        <is>
          <t>✅ 健全</t>
        </is>
      </c>
      <c r="K6" s="40" t="inlineStr">
        <is>
          <t>「シェアもう少し欲しい」と言われたら。初期は死守、月5%だけ譲る。</t>
        </is>
      </c>
    </row>
    <row r="7" ht="45" customHeight="1">
      <c r="A7" s="34" t="inlineStr">
        <is>
          <t>3</t>
        </is>
      </c>
      <c r="B7" s="35" t="inlineStr">
        <is>
          <t>ソフト譲歩 ◎</t>
        </is>
      </c>
      <c r="C7" s="36" t="n">
        <v>0.5</v>
      </c>
      <c r="D7" s="37" t="n">
        <v>125000</v>
      </c>
      <c r="E7" s="37" t="n">
        <v>25000</v>
      </c>
      <c r="F7" s="38">
        <f>125000-6000+(8000*(1-0.5)-1212)*12</f>
        <v/>
      </c>
      <c r="G7" s="38">
        <f>25000+8000*0.5*12</f>
        <v/>
      </c>
      <c r="H7" s="39">
        <f>G7/15000</f>
        <v/>
      </c>
      <c r="I7" s="37">
        <f>F7-177456</f>
        <v/>
      </c>
      <c r="J7" s="34" t="inlineStr">
        <is>
          <t>✅ 健全</t>
        </is>
      </c>
      <c r="K7" s="40" t="inlineStr">
        <is>
          <t>「初期も少し欲しい」と言われたら。¥25kだけ渡す。心理的効果大。</t>
        </is>
      </c>
    </row>
    <row r="8" ht="45" customHeight="1">
      <c r="A8" s="41" t="inlineStr">
        <is>
          <t>4</t>
        </is>
      </c>
      <c r="B8" s="42" t="inlineStr">
        <is>
          <t>バランス型</t>
        </is>
      </c>
      <c r="C8" s="43" t="n">
        <v>0.4</v>
      </c>
      <c r="D8" s="44" t="n">
        <v>100000</v>
      </c>
      <c r="E8" s="44" t="n">
        <v>50000</v>
      </c>
      <c r="F8" s="45">
        <f>100000-6000+(8000*(1-0.4)-1212)*12</f>
        <v/>
      </c>
      <c r="G8" s="45">
        <f>50000+8000*0.4*12</f>
        <v/>
      </c>
      <c r="H8" s="46">
        <f>G8/15000</f>
        <v/>
      </c>
      <c r="I8" s="44">
        <f>F8-177456</f>
        <v/>
      </c>
      <c r="J8" s="41" t="inlineStr">
        <is>
          <t>⚠ 中間</t>
        </is>
      </c>
      <c r="K8" s="47" t="inlineStr">
        <is>
          <t>先方が月40%+初期¥50kで納得するパターン。両方譲歩でバランス。</t>
        </is>
      </c>
    </row>
    <row r="9" ht="45" customHeight="1">
      <c r="A9" s="41" t="inlineStr">
        <is>
          <t>5</t>
        </is>
      </c>
      <c r="B9" s="42" t="inlineStr">
        <is>
          <t>中間譲歩 ◎</t>
        </is>
      </c>
      <c r="C9" s="43" t="n">
        <v>0.5</v>
      </c>
      <c r="D9" s="44" t="n">
        <v>100000</v>
      </c>
      <c r="E9" s="44" t="n">
        <v>50000</v>
      </c>
      <c r="F9" s="45">
        <f>100000-6000+(8000*(1-0.5)-1212)*12</f>
        <v/>
      </c>
      <c r="G9" s="45">
        <f>50000+8000*0.5*12</f>
        <v/>
      </c>
      <c r="H9" s="46">
        <f>G9/15000</f>
        <v/>
      </c>
      <c r="I9" s="44">
        <f>F9-177456</f>
        <v/>
      </c>
      <c r="J9" s="41" t="inlineStr">
        <is>
          <t>⚠ 中間</t>
        </is>
      </c>
      <c r="K9" s="47" t="inlineStr">
        <is>
          <t>ギミック12m受取が¥98kに。ROI約6.5倍で十分魅力的。</t>
        </is>
      </c>
    </row>
    <row r="10" ht="45" customHeight="1">
      <c r="A10" s="48" t="inlineStr">
        <is>
          <t>6</t>
        </is>
      </c>
      <c r="B10" s="49" t="inlineStr">
        <is>
          <t>折半+月逆</t>
        </is>
      </c>
      <c r="C10" s="50" t="n">
        <v>0.4</v>
      </c>
      <c r="D10" s="19" t="n">
        <v>75000</v>
      </c>
      <c r="E10" s="19" t="n">
        <v>75000</v>
      </c>
      <c r="F10" s="51">
        <f>75000-6000+(8000*(1-0.4)-1212)*12</f>
        <v/>
      </c>
      <c r="G10" s="51">
        <f>75000+8000*0.4*12</f>
        <v/>
      </c>
      <c r="H10" s="20">
        <f>G10/15000</f>
        <v/>
      </c>
      <c r="I10" s="19">
        <f>F10-177456</f>
        <v/>
      </c>
      <c r="J10" s="48" t="inlineStr">
        <is>
          <t>⚠ 最終</t>
        </is>
      </c>
      <c r="K10" s="52" t="inlineStr">
        <is>
          <t>「折半したい」と言われたら月40%でカウンター。ギミック満足度キープ。</t>
        </is>
      </c>
    </row>
    <row r="11" ht="45" customHeight="1">
      <c r="A11" s="48" t="inlineStr">
        <is>
          <t>7</t>
        </is>
      </c>
      <c r="B11" s="49" t="inlineStr">
        <is>
          <t>最終譲歩</t>
        </is>
      </c>
      <c r="C11" s="50" t="n">
        <v>0.5</v>
      </c>
      <c r="D11" s="19" t="n">
        <v>75000</v>
      </c>
      <c r="E11" s="19" t="n">
        <v>75000</v>
      </c>
      <c r="F11" s="51">
        <f>75000-6000+(8000*(1-0.5)-1212)*12</f>
        <v/>
      </c>
      <c r="G11" s="51">
        <f>75000+8000*0.5*12</f>
        <v/>
      </c>
      <c r="H11" s="20">
        <f>G11/15000</f>
        <v/>
      </c>
      <c r="I11" s="19">
        <f>F11-177456</f>
        <v/>
      </c>
      <c r="J11" s="48" t="inlineStr">
        <is>
          <t>⚠ 最終</t>
        </is>
      </c>
      <c r="K11" s="52" t="inlineStr">
        <is>
          <t>これが限界。月50%+完全折半。これ以上は断る覚悟。</t>
        </is>
      </c>
    </row>
    <row r="12" ht="45" customHeight="1">
      <c r="A12" s="53" t="inlineStr">
        <is>
          <t>NG</t>
        </is>
      </c>
      <c r="B12" s="54" t="inlineStr">
        <is>
          <t>NG: ¥10万渡し</t>
        </is>
      </c>
      <c r="C12" s="55" t="n">
        <v>0.5</v>
      </c>
      <c r="D12" s="56" t="n">
        <v>50000</v>
      </c>
      <c r="E12" s="56" t="n">
        <v>100000</v>
      </c>
      <c r="F12" s="57">
        <f>50000-6000+(8000*(1-0.5)-1212)*12</f>
        <v/>
      </c>
      <c r="G12" s="57">
        <f>100000+8000*0.5*12</f>
        <v/>
      </c>
      <c r="H12" s="58">
        <f>G12/15000</f>
        <v/>
      </c>
      <c r="I12" s="56">
        <f>F12-177456</f>
        <v/>
      </c>
      <c r="J12" s="53" t="inlineStr">
        <is>
          <t>⛔ NG</t>
        </is>
      </c>
      <c r="K12" s="59" t="inlineStr">
        <is>
          <t>⛔ 弊社12m¥77kまで落ちる。事業成立危険。絶対NG。</t>
        </is>
      </c>
    </row>
    <row r="14">
      <c r="B14" s="60" t="inlineStr">
        <is>
          <t>判定の意味</t>
        </is>
      </c>
    </row>
    <row r="15">
      <c r="B15" s="33" t="inlineStr">
        <is>
          <t>✅ 健全：長期的に持続可能、利益率高い</t>
        </is>
      </c>
      <c r="C15" s="61" t="n"/>
      <c r="D15" s="61" t="n"/>
      <c r="E15" s="62" t="n"/>
    </row>
    <row r="16">
      <c r="B16" s="47" t="inlineStr">
        <is>
          <t>⚠ 中間：譲歩だが事業継続は可能</t>
        </is>
      </c>
      <c r="C16" s="61" t="n"/>
      <c r="D16" s="61" t="n"/>
      <c r="E16" s="62" t="n"/>
    </row>
    <row r="17">
      <c r="B17" s="52" t="inlineStr">
        <is>
          <t>⚠ 最終：これ以上譲らない限界ライン</t>
        </is>
      </c>
      <c r="C17" s="61" t="n"/>
      <c r="D17" s="61" t="n"/>
      <c r="E17" s="62" t="n"/>
    </row>
    <row r="18">
      <c r="B18" s="59" t="inlineStr">
        <is>
          <t>⛔ NG：事業成立危険、絶対に呑まない</t>
        </is>
      </c>
      <c r="C18" s="61" t="n"/>
      <c r="D18" s="61" t="n"/>
      <c r="E18" s="62" t="n"/>
    </row>
    <row r="20">
      <c r="B20" s="63" t="inlineStr">
        <is>
          <t>★ 交渉の進め方（順序）</t>
        </is>
      </c>
    </row>
    <row r="22">
      <c r="B22" s="29" t="inlineStr">
        <is>
          <t>Step 1: 基本案（#1）を提示</t>
        </is>
      </c>
      <c r="C22" s="61" t="n"/>
      <c r="D22" s="62" t="n"/>
      <c r="E22" s="33" t="inlineStr">
        <is>
          <t>弊社150k / 月50%</t>
        </is>
      </c>
      <c r="F22" s="61" t="n"/>
      <c r="G22" s="61" t="n"/>
      <c r="H22" s="62" t="n"/>
      <c r="I22" s="33" t="inlineStr">
        <is>
          <t>弊社12m粗利 ¥178k</t>
        </is>
      </c>
      <c r="J22" s="61" t="n"/>
      <c r="K22" s="62" t="n"/>
    </row>
    <row r="23">
      <c r="B23" s="35" t="inlineStr">
        <is>
          <t>Step 2: 「初期欲しい」と言われたら #3</t>
        </is>
      </c>
      <c r="C23" s="61" t="n"/>
      <c r="D23" s="62" t="n"/>
      <c r="E23" s="40" t="inlineStr">
        <is>
          <t>弊社125k+ギミック25k / 月50%</t>
        </is>
      </c>
      <c r="F23" s="61" t="n"/>
      <c r="G23" s="61" t="n"/>
      <c r="H23" s="62" t="n"/>
      <c r="I23" s="40" t="inlineStr">
        <is>
          <t>弊社12m粗利 ¥152k</t>
        </is>
      </c>
      <c r="J23" s="61" t="n"/>
      <c r="K23" s="62" t="n"/>
    </row>
    <row r="24">
      <c r="B24" s="42" t="inlineStr">
        <is>
          <t>Step 3: もっと押されたら #5</t>
        </is>
      </c>
      <c r="C24" s="61" t="n"/>
      <c r="D24" s="62" t="n"/>
      <c r="E24" s="47" t="inlineStr">
        <is>
          <t>弊社100k+ギミック50k / 月50%</t>
        </is>
      </c>
      <c r="F24" s="61" t="n"/>
      <c r="G24" s="61" t="n"/>
      <c r="H24" s="62" t="n"/>
      <c r="I24" s="47" t="inlineStr">
        <is>
          <t>弊社12m粗利 ¥127k</t>
        </is>
      </c>
      <c r="J24" s="61" t="n"/>
      <c r="K24" s="62" t="n"/>
    </row>
    <row r="25">
      <c r="B25" s="49" t="inlineStr">
        <is>
          <t>Step 4: 最終譲歩 #7</t>
        </is>
      </c>
      <c r="C25" s="61" t="n"/>
      <c r="D25" s="62" t="n"/>
      <c r="E25" s="52" t="inlineStr">
        <is>
          <t>折半 / 月50%</t>
        </is>
      </c>
      <c r="F25" s="61" t="n"/>
      <c r="G25" s="61" t="n"/>
      <c r="H25" s="62" t="n"/>
      <c r="I25" s="52" t="inlineStr">
        <is>
          <t>弊社12m粗利 ¥102k</t>
        </is>
      </c>
      <c r="J25" s="61" t="n"/>
      <c r="K25" s="62" t="n"/>
    </row>
    <row r="26">
      <c r="B26" s="54" t="inlineStr">
        <is>
          <t>Step X: NGゾーン（呑まない）</t>
        </is>
      </c>
      <c r="C26" s="61" t="n"/>
      <c r="D26" s="62" t="n"/>
      <c r="E26" s="59" t="inlineStr">
        <is>
          <t>¥10万渡し、月60%超</t>
        </is>
      </c>
      <c r="F26" s="61" t="n"/>
      <c r="G26" s="61" t="n"/>
      <c r="H26" s="62" t="n"/>
      <c r="I26" s="59" t="inlineStr">
        <is>
          <t>事業成立不能</t>
        </is>
      </c>
      <c r="J26" s="61" t="n"/>
      <c r="K26" s="62" t="n"/>
    </row>
  </sheetData>
  <mergeCells count="21">
    <mergeCell ref="E26:H26"/>
    <mergeCell ref="I22:K22"/>
    <mergeCell ref="B23:D23"/>
    <mergeCell ref="B15:E15"/>
    <mergeCell ref="E25:H25"/>
    <mergeCell ref="A1:K1"/>
    <mergeCell ref="E22:H22"/>
    <mergeCell ref="I24:K24"/>
    <mergeCell ref="I23:K23"/>
    <mergeCell ref="B16:E16"/>
    <mergeCell ref="E24:H24"/>
    <mergeCell ref="B24:D24"/>
    <mergeCell ref="B18:E18"/>
    <mergeCell ref="E23:H23"/>
    <mergeCell ref="A2:K2"/>
    <mergeCell ref="B26:D26"/>
    <mergeCell ref="B25:D25"/>
    <mergeCell ref="B17:E17"/>
    <mergeCell ref="B22:D22"/>
    <mergeCell ref="I26:K26"/>
    <mergeCell ref="I25:K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2026-04-23T00:49:29Z</dcterms:created>
  <dcterms:modified xsi:type="dcterms:W3CDTF">2026-04-23T00:50:19Z</dcterms:modified>
</cp:coreProperties>
</file>